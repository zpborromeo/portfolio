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ppriver3651017166-my.sharepoint.com/personal/zach_sowellmanagement_com1/Documents/Sunset West/"/>
    </mc:Choice>
  </mc:AlternateContent>
  <xr:revisionPtr revIDLastSave="43599" documentId="13_ncr:1_{B83E945E-924C-459E-AE27-0A294A355B79}" xr6:coauthVersionLast="47" xr6:coauthVersionMax="47" xr10:uidLastSave="{491DE044-E87A-4CF7-9C51-524DD128E7B5}"/>
  <bookViews>
    <workbookView xWindow="28680" yWindow="-120" windowWidth="29040" windowHeight="15840" firstSheet="6" activeTab="12" xr2:uid="{7E700D6C-B943-43F6-B48D-0576E1DCE28C}"/>
  </bookViews>
  <sheets>
    <sheet name="As of 07-02-2021" sheetId="25" r:id="rId1"/>
    <sheet name="As of 07-06-2021" sheetId="26" r:id="rId2"/>
    <sheet name="As of 07-07-2021" sheetId="27" r:id="rId3"/>
    <sheet name="As of 07-08-2021" sheetId="28" r:id="rId4"/>
    <sheet name="As of 07-09-2021" sheetId="29" r:id="rId5"/>
    <sheet name="As of 07-12-2021" sheetId="30" r:id="rId6"/>
    <sheet name="As of 07-13-2021" sheetId="31" r:id="rId7"/>
    <sheet name="As of 07-14-2021" sheetId="33" r:id="rId8"/>
    <sheet name="As of 07-15-2021" sheetId="34" r:id="rId9"/>
    <sheet name="As of 07-16-2021" sheetId="36" r:id="rId10"/>
    <sheet name="As of 07-19-2021" sheetId="37" r:id="rId11"/>
    <sheet name="As of 07-26-2021" sheetId="38" r:id="rId12"/>
    <sheet name="As of 08-02-2021" sheetId="39" r:id="rId13"/>
    <sheet name="Import Sheet" sheetId="1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23" i="39" l="1"/>
  <c r="D219" i="39"/>
  <c r="E219" i="39" s="1"/>
  <c r="C219" i="39"/>
  <c r="D215" i="39"/>
  <c r="E215" i="39" s="1"/>
  <c r="C215" i="39"/>
  <c r="G99" i="39"/>
  <c r="G90" i="39"/>
  <c r="G75" i="39"/>
  <c r="G59" i="39"/>
  <c r="G51" i="39"/>
  <c r="G50" i="39"/>
  <c r="G41" i="39"/>
  <c r="G40" i="39"/>
  <c r="G38" i="39"/>
  <c r="G36" i="39"/>
  <c r="G34" i="39"/>
  <c r="G29" i="39"/>
  <c r="G28" i="39"/>
  <c r="G27" i="39"/>
  <c r="G19" i="39"/>
  <c r="G14" i="39"/>
  <c r="G10" i="39"/>
  <c r="G9" i="39"/>
  <c r="G8" i="39"/>
  <c r="G7" i="39"/>
  <c r="G2" i="39"/>
  <c r="E223" i="1"/>
  <c r="D223" i="1"/>
  <c r="C223" i="1"/>
  <c r="E215" i="1"/>
  <c r="D215" i="1"/>
  <c r="C215" i="1"/>
  <c r="D219" i="1"/>
  <c r="C219" i="1"/>
  <c r="E219" i="1" s="1"/>
  <c r="G99" i="1"/>
  <c r="G90" i="1"/>
  <c r="G75" i="1"/>
  <c r="G59" i="1"/>
  <c r="G51" i="1"/>
  <c r="G50" i="1"/>
  <c r="G41" i="1"/>
  <c r="G40" i="1"/>
  <c r="G38" i="1"/>
  <c r="G36" i="1"/>
  <c r="G34" i="1"/>
  <c r="G29" i="1"/>
  <c r="G28" i="1"/>
  <c r="G27" i="1"/>
  <c r="G19" i="1"/>
  <c r="G14" i="1"/>
  <c r="G10" i="1"/>
  <c r="G9" i="1"/>
  <c r="G8" i="1"/>
  <c r="G7" i="1"/>
  <c r="G2" i="1"/>
  <c r="D222" i="38"/>
  <c r="E222" i="38" s="1"/>
  <c r="C222" i="38"/>
  <c r="E218" i="38"/>
  <c r="D218" i="38"/>
  <c r="C218" i="38"/>
  <c r="D214" i="38"/>
  <c r="E214" i="38" s="1"/>
  <c r="C214" i="38"/>
  <c r="G98" i="38"/>
  <c r="G90" i="38"/>
  <c r="G74" i="38"/>
  <c r="G60" i="38"/>
  <c r="G51" i="38"/>
  <c r="G50" i="38"/>
  <c r="G41" i="38"/>
  <c r="G40" i="38"/>
  <c r="G38" i="38"/>
  <c r="G36" i="38"/>
  <c r="G34" i="38"/>
  <c r="G29" i="38"/>
  <c r="G28" i="38"/>
  <c r="G26" i="38"/>
  <c r="G19" i="38"/>
  <c r="G14" i="38"/>
  <c r="G10" i="38"/>
  <c r="G9" i="38"/>
  <c r="G8" i="38"/>
  <c r="G7" i="38"/>
  <c r="G2" i="38"/>
  <c r="D222" i="37"/>
  <c r="E222" i="37" s="1"/>
  <c r="C222" i="37"/>
  <c r="E218" i="37"/>
  <c r="D218" i="37"/>
  <c r="C218" i="37"/>
  <c r="D214" i="37"/>
  <c r="E214" i="37" s="1"/>
  <c r="C214" i="37"/>
  <c r="G97" i="37"/>
  <c r="G89" i="37"/>
  <c r="G72" i="37"/>
  <c r="G58" i="37"/>
  <c r="G50" i="37"/>
  <c r="G49" i="37"/>
  <c r="G40" i="37"/>
  <c r="G39" i="37"/>
  <c r="G37" i="37"/>
  <c r="G35" i="37"/>
  <c r="G34" i="37"/>
  <c r="G28" i="37"/>
  <c r="G27" i="37"/>
  <c r="G26" i="37"/>
  <c r="G19" i="37"/>
  <c r="G14" i="37"/>
  <c r="G10" i="37"/>
  <c r="G9" i="37"/>
  <c r="G8" i="37"/>
  <c r="G7" i="37"/>
  <c r="G2" i="37"/>
  <c r="C222" i="36"/>
  <c r="D218" i="36"/>
  <c r="D222" i="36" s="1"/>
  <c r="E222" i="36" s="1"/>
  <c r="C218" i="36"/>
  <c r="D214" i="36"/>
  <c r="E214" i="36" s="1"/>
  <c r="C214" i="36"/>
  <c r="G97" i="36"/>
  <c r="G89" i="36"/>
  <c r="G72" i="36"/>
  <c r="G58" i="36"/>
  <c r="G50" i="36"/>
  <c r="G49" i="36"/>
  <c r="G40" i="36"/>
  <c r="G39" i="36"/>
  <c r="G37" i="36"/>
  <c r="G35" i="36"/>
  <c r="G33" i="36"/>
  <c r="G28" i="36"/>
  <c r="G27" i="36"/>
  <c r="G26" i="36"/>
  <c r="G19" i="36"/>
  <c r="G14" i="36"/>
  <c r="G10" i="36"/>
  <c r="G9" i="36"/>
  <c r="G8" i="36"/>
  <c r="G7" i="36"/>
  <c r="G2" i="36"/>
  <c r="D218" i="34"/>
  <c r="D222" i="34" s="1"/>
  <c r="C218" i="34"/>
  <c r="C222" i="34" s="1"/>
  <c r="E214" i="34"/>
  <c r="D214" i="34"/>
  <c r="C214" i="34"/>
  <c r="G96" i="34"/>
  <c r="G88" i="34"/>
  <c r="G72" i="34"/>
  <c r="G58" i="34"/>
  <c r="G50" i="34"/>
  <c r="G49" i="34"/>
  <c r="G40" i="34"/>
  <c r="G39" i="34"/>
  <c r="G37" i="34"/>
  <c r="G35" i="34"/>
  <c r="G33" i="34"/>
  <c r="G28" i="34"/>
  <c r="G27" i="34"/>
  <c r="G26" i="34"/>
  <c r="G19" i="34"/>
  <c r="G14" i="34"/>
  <c r="G10" i="34"/>
  <c r="G9" i="34"/>
  <c r="G8" i="34"/>
  <c r="G7" i="34"/>
  <c r="G2" i="34"/>
  <c r="D218" i="33"/>
  <c r="D222" i="33" s="1"/>
  <c r="C218" i="33"/>
  <c r="C222" i="33" s="1"/>
  <c r="E214" i="33"/>
  <c r="D214" i="33"/>
  <c r="C214" i="33"/>
  <c r="G96" i="33"/>
  <c r="G88" i="33"/>
  <c r="G72" i="33"/>
  <c r="G58" i="33"/>
  <c r="G50" i="33"/>
  <c r="G48" i="33"/>
  <c r="G40" i="33"/>
  <c r="G39" i="33"/>
  <c r="G37" i="33"/>
  <c r="G35" i="33"/>
  <c r="G34" i="33"/>
  <c r="G28" i="33"/>
  <c r="G27" i="33"/>
  <c r="G26" i="33"/>
  <c r="G18" i="33"/>
  <c r="G14" i="33"/>
  <c r="G10" i="33"/>
  <c r="G9" i="33"/>
  <c r="G8" i="33"/>
  <c r="G7" i="33"/>
  <c r="G2" i="33"/>
  <c r="D218" i="31"/>
  <c r="E218" i="31" s="1"/>
  <c r="C218" i="31"/>
  <c r="D214" i="31"/>
  <c r="D222" i="31" s="1"/>
  <c r="C214" i="31"/>
  <c r="C222" i="31" s="1"/>
  <c r="G96" i="31"/>
  <c r="G88" i="31"/>
  <c r="G84" i="31"/>
  <c r="G71" i="31"/>
  <c r="G58" i="31"/>
  <c r="G49" i="31"/>
  <c r="G47" i="31"/>
  <c r="G39" i="31"/>
  <c r="G38" i="31"/>
  <c r="G36" i="31"/>
  <c r="G34" i="31"/>
  <c r="G33" i="31"/>
  <c r="G27" i="31"/>
  <c r="G26" i="31"/>
  <c r="G18" i="31"/>
  <c r="G14" i="31"/>
  <c r="G10" i="31"/>
  <c r="G9" i="31"/>
  <c r="G8" i="31"/>
  <c r="G7" i="31"/>
  <c r="G2" i="31"/>
  <c r="C221" i="30"/>
  <c r="D217" i="30"/>
  <c r="E217" i="30" s="1"/>
  <c r="C217" i="30"/>
  <c r="D213" i="30"/>
  <c r="D221" i="30" s="1"/>
  <c r="E221" i="30" s="1"/>
  <c r="C213" i="30"/>
  <c r="G96" i="30"/>
  <c r="G88" i="30"/>
  <c r="G84" i="30"/>
  <c r="G71" i="30"/>
  <c r="G58" i="30"/>
  <c r="G49" i="30"/>
  <c r="G47" i="30"/>
  <c r="G39" i="30"/>
  <c r="G38" i="30"/>
  <c r="G36" i="30"/>
  <c r="G34" i="30"/>
  <c r="G33" i="30"/>
  <c r="G27" i="30"/>
  <c r="G26" i="30"/>
  <c r="G18" i="30"/>
  <c r="G14" i="30"/>
  <c r="G10" i="30"/>
  <c r="G9" i="30"/>
  <c r="G8" i="30"/>
  <c r="G7" i="30"/>
  <c r="G2" i="30"/>
  <c r="D217" i="29"/>
  <c r="E217" i="29" s="1"/>
  <c r="C217" i="29"/>
  <c r="D213" i="29"/>
  <c r="D221" i="29" s="1"/>
  <c r="C213" i="29"/>
  <c r="C221" i="29" s="1"/>
  <c r="G96" i="29"/>
  <c r="G88" i="29"/>
  <c r="G84" i="29"/>
  <c r="G71" i="29"/>
  <c r="G58" i="29"/>
  <c r="G49" i="29"/>
  <c r="G47" i="29"/>
  <c r="G40" i="29"/>
  <c r="G38" i="29"/>
  <c r="G36" i="29"/>
  <c r="G34" i="29"/>
  <c r="G33" i="29"/>
  <c r="G27" i="29"/>
  <c r="G26" i="29"/>
  <c r="G18" i="29"/>
  <c r="G14" i="29"/>
  <c r="G10" i="29"/>
  <c r="G9" i="29"/>
  <c r="G8" i="29"/>
  <c r="G7" i="29"/>
  <c r="G2" i="29"/>
  <c r="D223" i="39" l="1"/>
  <c r="E223" i="39" s="1"/>
  <c r="E218" i="36"/>
  <c r="E222" i="34"/>
  <c r="E218" i="34"/>
  <c r="E222" i="33"/>
  <c r="E218" i="33"/>
  <c r="E222" i="31"/>
  <c r="E214" i="31"/>
  <c r="E213" i="30"/>
  <c r="E221" i="29"/>
  <c r="E213" i="29"/>
  <c r="D216" i="28" l="1"/>
  <c r="E216" i="28" s="1"/>
  <c r="C216" i="28"/>
  <c r="C220" i="28" s="1"/>
  <c r="D212" i="28"/>
  <c r="E212" i="28" s="1"/>
  <c r="C212" i="28"/>
  <c r="G96" i="28"/>
  <c r="G88" i="28"/>
  <c r="G84" i="28"/>
  <c r="G71" i="28"/>
  <c r="G58" i="28"/>
  <c r="G49" i="28"/>
  <c r="G47" i="28"/>
  <c r="G39" i="28"/>
  <c r="G38" i="28"/>
  <c r="G36" i="28"/>
  <c r="G34" i="28"/>
  <c r="G32" i="28"/>
  <c r="G27" i="28"/>
  <c r="G26" i="28"/>
  <c r="G18" i="28"/>
  <c r="G14" i="28"/>
  <c r="G10" i="28"/>
  <c r="G9" i="28"/>
  <c r="G8" i="28"/>
  <c r="G7" i="28"/>
  <c r="G2" i="28"/>
  <c r="D220" i="28" l="1"/>
  <c r="E220" i="28" s="1"/>
  <c r="C220" i="27" l="1"/>
  <c r="D216" i="27"/>
  <c r="E216" i="27" s="1"/>
  <c r="C216" i="27"/>
  <c r="D212" i="27"/>
  <c r="D220" i="27" s="1"/>
  <c r="E220" i="27" s="1"/>
  <c r="C212" i="27"/>
  <c r="G96" i="27"/>
  <c r="G88" i="27"/>
  <c r="G84" i="27"/>
  <c r="G71" i="27"/>
  <c r="G58" i="27"/>
  <c r="G49" i="27"/>
  <c r="G47" i="27"/>
  <c r="G40" i="27"/>
  <c r="G38" i="27"/>
  <c r="G36" i="27"/>
  <c r="G34" i="27"/>
  <c r="G32" i="27"/>
  <c r="G27" i="27"/>
  <c r="G26" i="27"/>
  <c r="G18" i="27"/>
  <c r="G14" i="27"/>
  <c r="G10" i="27"/>
  <c r="G9" i="27"/>
  <c r="G8" i="27"/>
  <c r="G7" i="27"/>
  <c r="G2" i="27"/>
  <c r="C219" i="26"/>
  <c r="D215" i="26"/>
  <c r="E215" i="26" s="1"/>
  <c r="C215" i="26"/>
  <c r="D211" i="26"/>
  <c r="D219" i="26" s="1"/>
  <c r="E219" i="26" s="1"/>
  <c r="C211" i="26"/>
  <c r="G96" i="26"/>
  <c r="G88" i="26"/>
  <c r="G84" i="26"/>
  <c r="G71" i="26"/>
  <c r="G58" i="26"/>
  <c r="G49" i="26"/>
  <c r="G47" i="26"/>
  <c r="G40" i="26"/>
  <c r="G38" i="26"/>
  <c r="G36" i="26"/>
  <c r="G34" i="26"/>
  <c r="G32" i="26"/>
  <c r="G27" i="26"/>
  <c r="G26" i="26"/>
  <c r="G18" i="26"/>
  <c r="G14" i="26"/>
  <c r="G10" i="26"/>
  <c r="G9" i="26"/>
  <c r="G8" i="26"/>
  <c r="G7" i="26"/>
  <c r="G2" i="26"/>
  <c r="D219" i="25"/>
  <c r="E219" i="25" s="1"/>
  <c r="C219" i="25"/>
  <c r="E215" i="25"/>
  <c r="D215" i="25"/>
  <c r="C215" i="25"/>
  <c r="D211" i="25"/>
  <c r="E211" i="25" s="1"/>
  <c r="C211" i="25"/>
  <c r="G95" i="25"/>
  <c r="G87" i="25"/>
  <c r="G83" i="25"/>
  <c r="G70" i="25"/>
  <c r="G57" i="25"/>
  <c r="G47" i="25"/>
  <c r="G45" i="25"/>
  <c r="G40" i="25"/>
  <c r="G37" i="25"/>
  <c r="G35" i="25"/>
  <c r="G33" i="25"/>
  <c r="G31" i="25"/>
  <c r="G26" i="25"/>
  <c r="G25" i="25"/>
  <c r="G17" i="25"/>
  <c r="G13" i="25"/>
  <c r="G9" i="25"/>
  <c r="G8" i="25"/>
  <c r="G7" i="25"/>
  <c r="G6" i="25"/>
  <c r="G2" i="25"/>
  <c r="E212" i="27" l="1"/>
  <c r="E211" i="26"/>
</calcChain>
</file>

<file path=xl/sharedStrings.xml><?xml version="1.0" encoding="utf-8"?>
<sst xmlns="http://schemas.openxmlformats.org/spreadsheetml/2006/main" count="11202" uniqueCount="334">
  <si>
    <t>$13,500</t>
  </si>
  <si>
    <t>$9,230</t>
  </si>
  <si>
    <t>$2,568</t>
  </si>
  <si>
    <t>$8,000</t>
  </si>
  <si>
    <t>$6,000</t>
  </si>
  <si>
    <t>$2,250</t>
  </si>
  <si>
    <t>$10,000</t>
  </si>
  <si>
    <t>$3,500</t>
  </si>
  <si>
    <t>$2,700</t>
  </si>
  <si>
    <t>$2,550.00</t>
  </si>
  <si>
    <t>$500</t>
  </si>
  <si>
    <t>$3,763.39</t>
  </si>
  <si>
    <t>$4,500</t>
  </si>
  <si>
    <t>$3,000</t>
  </si>
  <si>
    <t>$2,500</t>
  </si>
  <si>
    <t>$1,000</t>
  </si>
  <si>
    <t>$358</t>
  </si>
  <si>
    <t>--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</si>
  <si>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</si>
  <si>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</si>
  <si>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</si>
  <si>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</si>
  <si>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</si>
  <si>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</si>
  <si>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</si>
  <si>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</si>
  <si>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</si>
  <si>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</si>
  <si>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</si>
  <si>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</si>
  <si>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</si>
  <si>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</si>
  <si>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</si>
  <si>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</si>
  <si>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</si>
  <si>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</si>
  <si>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</si>
  <si>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</si>
  <si>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21.</t>
  </si>
  <si>
    <t>22.</t>
  </si>
  <si>
    <t>23.</t>
  </si>
  <si>
    <t>24.</t>
  </si>
  <si>
    <t>25.</t>
  </si>
  <si>
    <t>26.</t>
  </si>
  <si>
    <t>27.</t>
  </si>
  <si>
    <t>28.</t>
  </si>
  <si>
    <t>29.</t>
  </si>
  <si>
    <t>30.</t>
  </si>
  <si>
    <t>31.</t>
  </si>
  <si>
    <t>32.</t>
  </si>
  <si>
    <t>33.</t>
  </si>
  <si>
    <t>34.</t>
  </si>
  <si>
    <t>35.</t>
  </si>
  <si>
    <t>36.</t>
  </si>
  <si>
    <t>37.</t>
  </si>
  <si>
    <t>38.</t>
  </si>
  <si>
    <t>39.</t>
  </si>
  <si>
    <t>40.</t>
  </si>
  <si>
    <t>41.</t>
  </si>
  <si>
    <t>42.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</si>
  <si>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</si>
  <si>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</si>
  <si>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</si>
  <si>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</si>
  <si>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</si>
  <si>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</si>
  <si>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</si>
  <si>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</si>
  <si>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</si>
  <si>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</si>
  <si>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</si>
  <si>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</si>
  <si>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</si>
  <si>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</si>
  <si>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</si>
  <si>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</si>
  <si>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</si>
  <si>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</si>
  <si>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</si>
  <si>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</si>
  <si>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</si>
  <si>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</si>
  <si>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</si>
  <si>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</si>
  <si>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</si>
  <si>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</si>
  <si>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</si>
  <si>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</si>
  <si>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</si>
  <si>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</si>
  <si>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</si>
  <si>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</si>
  <si>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</si>
  <si>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</si>
  <si>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</si>
  <si>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</si>
  <si>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</si>
  <si>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</si>
  <si>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81.</t>
  </si>
  <si>
    <t>82.</t>
  </si>
  <si>
    <t>83.</t>
  </si>
  <si>
    <t>84.</t>
  </si>
  <si>
    <t>85.</t>
  </si>
  <si>
    <t>86.</t>
  </si>
  <si>
    <t>87.</t>
  </si>
  <si>
    <t>88.</t>
  </si>
  <si>
    <t>89.</t>
  </si>
  <si>
    <t>90.</t>
  </si>
  <si>
    <t>91.</t>
  </si>
  <si>
    <t>92.</t>
  </si>
  <si>
    <t>93.</t>
  </si>
  <si>
    <t>94.</t>
  </si>
  <si>
    <t>95.</t>
  </si>
  <si>
    <t>96.</t>
  </si>
  <si>
    <t>97.</t>
  </si>
  <si>
    <t>98.</t>
  </si>
  <si>
    <t>99.</t>
  </si>
  <si>
    <t>100.</t>
  </si>
  <si>
    <t>101.</t>
  </si>
  <si>
    <t>102.</t>
  </si>
  <si>
    <t>103.</t>
  </si>
  <si>
    <t>104.</t>
  </si>
  <si>
    <t>105.</t>
  </si>
  <si>
    <t>106.</t>
  </si>
  <si>
    <t>107.</t>
  </si>
  <si>
    <t>108.</t>
  </si>
  <si>
    <t>109.</t>
  </si>
  <si>
    <t>110.</t>
  </si>
  <si>
    <t>111.</t>
  </si>
  <si>
    <t>112.</t>
  </si>
  <si>
    <t>113.</t>
  </si>
  <si>
    <t>114.</t>
  </si>
  <si>
    <t>115.</t>
  </si>
  <si>
    <t>116.</t>
  </si>
  <si>
    <t>117.</t>
  </si>
  <si>
    <t>118.</t>
  </si>
  <si>
    <t>119.</t>
  </si>
  <si>
    <t>120.</t>
  </si>
  <si>
    <t>121.</t>
  </si>
  <si>
    <t>122.</t>
  </si>
  <si>
    <t>123.</t>
  </si>
  <si>
    <t>124.</t>
  </si>
  <si>
    <t>125.</t>
  </si>
  <si>
    <t>126.</t>
  </si>
  <si>
    <t>127.</t>
  </si>
  <si>
    <t>128.</t>
  </si>
  <si>
    <t>129.</t>
  </si>
  <si>
    <t>130.</t>
  </si>
  <si>
    <t>131.</t>
  </si>
  <si>
    <t>132.</t>
  </si>
  <si>
    <t>133.</t>
  </si>
  <si>
    <t>134.</t>
  </si>
  <si>
    <t>135.</t>
  </si>
  <si>
    <t>136.</t>
  </si>
  <si>
    <t>137.</t>
  </si>
  <si>
    <t>138.</t>
  </si>
  <si>
    <t>139.</t>
  </si>
  <si>
    <t>Name</t>
  </si>
  <si>
    <t>Market Value</t>
  </si>
  <si>
    <t>Cash Value</t>
  </si>
  <si>
    <t>Cash %</t>
  </si>
  <si>
    <t>Monthly W/D</t>
  </si>
  <si>
    <t>Months of W/D</t>
  </si>
  <si>
    <t xml:space="preserve">A. &amp; J. Atmore </t>
  </si>
  <si>
    <t xml:space="preserve">A. Irmas </t>
  </si>
  <si>
    <t xml:space="preserve">K. &amp; E. Kohanim </t>
  </si>
  <si>
    <t xml:space="preserve">R. &amp; C. Dean </t>
  </si>
  <si>
    <t xml:space="preserve">A. &amp; J. Ferguson </t>
  </si>
  <si>
    <t xml:space="preserve">R. Baskin </t>
  </si>
  <si>
    <t xml:space="preserve">L. Gray </t>
  </si>
  <si>
    <t xml:space="preserve">T. &amp; L. Van Bastelaar </t>
  </si>
  <si>
    <t xml:space="preserve">T. &amp; M. Greenhalgh </t>
  </si>
  <si>
    <t xml:space="preserve">K. Eichelberger </t>
  </si>
  <si>
    <t xml:space="preserve">C. &amp; D. Dietz </t>
  </si>
  <si>
    <t xml:space="preserve">B. Freedman </t>
  </si>
  <si>
    <t xml:space="preserve">S. &amp; K. Jones </t>
  </si>
  <si>
    <t xml:space="preserve">C. &amp; T. Phillips </t>
  </si>
  <si>
    <t>L. &amp; R. Gladden/Nugent</t>
  </si>
  <si>
    <t xml:space="preserve">K. &amp; S. Wilkens </t>
  </si>
  <si>
    <t xml:space="preserve">M. Wallace </t>
  </si>
  <si>
    <t xml:space="preserve">D. Chael </t>
  </si>
  <si>
    <t xml:space="preserve">E. Schmielewski </t>
  </si>
  <si>
    <t xml:space="preserve">B. &amp; M. Myers </t>
  </si>
  <si>
    <t xml:space="preserve">A. &amp; V. Frid </t>
  </si>
  <si>
    <t xml:space="preserve">A. &amp; S. Triphon </t>
  </si>
  <si>
    <t xml:space="preserve">B. Patrick </t>
  </si>
  <si>
    <t xml:space="preserve">J. &amp; C. Katri </t>
  </si>
  <si>
    <t xml:space="preserve">A. Myers </t>
  </si>
  <si>
    <t xml:space="preserve">D. Byard </t>
  </si>
  <si>
    <t xml:space="preserve">L. &amp; A. Nelik </t>
  </si>
  <si>
    <t xml:space="preserve">M. D'Aprix </t>
  </si>
  <si>
    <t xml:space="preserve">P. Depew </t>
  </si>
  <si>
    <t xml:space="preserve">A. Chernove </t>
  </si>
  <si>
    <t xml:space="preserve">C. Cervantes </t>
  </si>
  <si>
    <t>J. &amp; Y. Mefford/Homma</t>
  </si>
  <si>
    <t xml:space="preserve">L. Shaw </t>
  </si>
  <si>
    <t xml:space="preserve">M. Ortiz-Diaz </t>
  </si>
  <si>
    <t xml:space="preserve">D. &amp; B. Das </t>
  </si>
  <si>
    <t xml:space="preserve">C. Tolentino </t>
  </si>
  <si>
    <t xml:space="preserve">D. Plank </t>
  </si>
  <si>
    <t xml:space="preserve">O. Lari </t>
  </si>
  <si>
    <t xml:space="preserve">D. &amp; S. Taguchi </t>
  </si>
  <si>
    <t xml:space="preserve">M. Glogower </t>
  </si>
  <si>
    <t>K. &amp; M. Ghassemieh/Malek</t>
  </si>
  <si>
    <t xml:space="preserve">A. &amp; E. Razak </t>
  </si>
  <si>
    <t xml:space="preserve">C. &amp; N. Dail </t>
  </si>
  <si>
    <t xml:space="preserve">B. Mindlin </t>
  </si>
  <si>
    <t xml:space="preserve">M. Aubrey </t>
  </si>
  <si>
    <t xml:space="preserve">C. Gaisford </t>
  </si>
  <si>
    <t xml:space="preserve">F. Domingo </t>
  </si>
  <si>
    <t xml:space="preserve">J. Benjamin </t>
  </si>
  <si>
    <t xml:space="preserve">P. Saadat </t>
  </si>
  <si>
    <t xml:space="preserve">B. Lerner </t>
  </si>
  <si>
    <t xml:space="preserve">R. Razak </t>
  </si>
  <si>
    <t xml:space="preserve">R. Hanasab </t>
  </si>
  <si>
    <t xml:space="preserve">J. &amp; P. Palay </t>
  </si>
  <si>
    <t xml:space="preserve">S. Dadfarin </t>
  </si>
  <si>
    <t xml:space="preserve">S. Holt </t>
  </si>
  <si>
    <t xml:space="preserve">J. Barden </t>
  </si>
  <si>
    <t xml:space="preserve">I. &amp; M. Brand </t>
  </si>
  <si>
    <t xml:space="preserve">J. Phillips </t>
  </si>
  <si>
    <t xml:space="preserve">A. Silverstein </t>
  </si>
  <si>
    <t xml:space="preserve">B. &amp; R. Shulman </t>
  </si>
  <si>
    <t xml:space="preserve">J. Hakakha </t>
  </si>
  <si>
    <t xml:space="preserve">H. &amp; P. Ohlsen </t>
  </si>
  <si>
    <t xml:space="preserve">D. Rangel </t>
  </si>
  <si>
    <t xml:space="preserve">A. Binafard </t>
  </si>
  <si>
    <t xml:space="preserve">D. Benjamin </t>
  </si>
  <si>
    <t xml:space="preserve">J. Katz </t>
  </si>
  <si>
    <t xml:space="preserve">A. &amp; D. Mills </t>
  </si>
  <si>
    <t xml:space="preserve">L. Amiri </t>
  </si>
  <si>
    <t xml:space="preserve">N. Naima </t>
  </si>
  <si>
    <t xml:space="preserve">C. &amp; N. Khaghan </t>
  </si>
  <si>
    <t xml:space="preserve">R. &amp; S. Hansen </t>
  </si>
  <si>
    <t xml:space="preserve">S. Irmas </t>
  </si>
  <si>
    <t xml:space="preserve">D. Soleimani </t>
  </si>
  <si>
    <t xml:space="preserve">B. Sani </t>
  </si>
  <si>
    <t xml:space="preserve">J. Kaplan </t>
  </si>
  <si>
    <t xml:space="preserve">S. Lin </t>
  </si>
  <si>
    <t xml:space="preserve">T. &amp; S. Griger </t>
  </si>
  <si>
    <t xml:space="preserve">L. Caputo </t>
  </si>
  <si>
    <t xml:space="preserve">D. Gold </t>
  </si>
  <si>
    <t xml:space="preserve">C. Cappa </t>
  </si>
  <si>
    <t xml:space="preserve">J. Lin </t>
  </si>
  <si>
    <t>F. &amp; M. Masjedi/Sasson</t>
  </si>
  <si>
    <t xml:space="preserve">M. Molloy </t>
  </si>
  <si>
    <t xml:space="preserve">S. &amp; T. Mathalon </t>
  </si>
  <si>
    <t xml:space="preserve">D. Villegas </t>
  </si>
  <si>
    <t xml:space="preserve">M. Shouhed </t>
  </si>
  <si>
    <t xml:space="preserve">W. Ebanks </t>
  </si>
  <si>
    <t xml:space="preserve">K. &amp; A. Jaffe </t>
  </si>
  <si>
    <t xml:space="preserve">A. Caputo </t>
  </si>
  <si>
    <t xml:space="preserve">Y. Mindell </t>
  </si>
  <si>
    <t xml:space="preserve">S. Marshall </t>
  </si>
  <si>
    <t xml:space="preserve">P. Abdi </t>
  </si>
  <si>
    <t xml:space="preserve">J. Amirian </t>
  </si>
  <si>
    <t xml:space="preserve">B. Greenstein </t>
  </si>
  <si>
    <t xml:space="preserve">S. Hinden </t>
  </si>
  <si>
    <t xml:space="preserve">J. Masjedi </t>
  </si>
  <si>
    <t xml:space="preserve">D. Shouhed </t>
  </si>
  <si>
    <t xml:space="preserve">P. Brailovsky </t>
  </si>
  <si>
    <t xml:space="preserve">S. Soleimani </t>
  </si>
  <si>
    <t xml:space="preserve">D. Dann </t>
  </si>
  <si>
    <t xml:space="preserve">Z. Bautzer </t>
  </si>
  <si>
    <t xml:space="preserve">J. Hoobler </t>
  </si>
  <si>
    <t xml:space="preserve">T. Desmond </t>
  </si>
  <si>
    <t xml:space="preserve">B. Lin </t>
  </si>
  <si>
    <t xml:space="preserve">R. &amp; A. Khamisi </t>
  </si>
  <si>
    <t xml:space="preserve">A. Lin </t>
  </si>
  <si>
    <t xml:space="preserve">R. Lin </t>
  </si>
  <si>
    <t xml:space="preserve">H. Salehi </t>
  </si>
  <si>
    <t xml:space="preserve">A. &amp; R. Klein </t>
  </si>
  <si>
    <t>Unmanaged Totals</t>
  </si>
  <si>
    <t>Managed Totals</t>
  </si>
  <si>
    <t>Firm Totals</t>
  </si>
  <si>
    <t xml:space="preserve">T. Hartmann </t>
  </si>
  <si>
    <t xml:space="preserve">A. &amp; J. Caputo </t>
  </si>
  <si>
    <t xml:space="preserve">A. &amp; C. Afshar </t>
  </si>
  <si>
    <t xml:space="preserve">B. Assil </t>
  </si>
  <si>
    <t xml:space="preserve">J. &amp; H. Mefford </t>
  </si>
  <si>
    <t xml:space="preserve">M. Amiri </t>
  </si>
  <si>
    <t xml:space="preserve">M. &amp; J. Aubrey </t>
  </si>
  <si>
    <t xml:space="preserve">F. Domingo Jr </t>
  </si>
  <si>
    <t xml:space="preserve">L. Javid </t>
  </si>
  <si>
    <t xml:space="preserve">S. Winnick </t>
  </si>
  <si>
    <t xml:space="preserve">E. Kohanim </t>
  </si>
  <si>
    <t xml:space="preserve">B. Abdi </t>
  </si>
  <si>
    <t xml:space="preserve">R. Nugent </t>
  </si>
  <si>
    <t xml:space="preserve">J. Weinstock </t>
  </si>
  <si>
    <t xml:space="preserve">M. Nourmand </t>
  </si>
  <si>
    <t xml:space="preserve">K. Illulian </t>
  </si>
  <si>
    <t xml:space="preserve">J. Woywod </t>
  </si>
  <si>
    <t>$3,700</t>
  </si>
  <si>
    <t>$9,500</t>
  </si>
  <si>
    <t xml:space="preserve">M. Nathanson </t>
  </si>
  <si>
    <t xml:space="preserve">R. McClung </t>
  </si>
  <si>
    <t xml:space="preserve">A. &amp; K. Chenman </t>
  </si>
  <si>
    <t xml:space="preserve">K. Fuentes </t>
  </si>
  <si>
    <t>UNMANAGED PORTFOLIOS</t>
  </si>
  <si>
    <t xml:space="preserve">B. Ferguson </t>
  </si>
  <si>
    <t xml:space="preserve">A. &amp; C. Peralta </t>
  </si>
  <si>
    <t xml:space="preserve">A. Dwight </t>
  </si>
  <si>
    <t xml:space="preserve">D. Styne </t>
  </si>
  <si>
    <t xml:space="preserve">B. Chenman </t>
  </si>
  <si>
    <t xml:space="preserve">J. Illulian </t>
  </si>
  <si>
    <t xml:space="preserve">L. Hinojosa </t>
  </si>
  <si>
    <t xml:space="preserve">O. Hammond </t>
  </si>
  <si>
    <t xml:space="preserve">A. &amp; S. Mirhadi </t>
  </si>
  <si>
    <t xml:space="preserve">R. Blanga </t>
  </si>
  <si>
    <t xml:space="preserve">D. Chin </t>
  </si>
  <si>
    <t xml:space="preserve">J. Howard </t>
  </si>
  <si>
    <t xml:space="preserve">P. Lopez </t>
  </si>
  <si>
    <t xml:space="preserve">A. Higueros </t>
  </si>
  <si>
    <t xml:space="preserve">V. Chao </t>
  </si>
  <si>
    <t xml:space="preserve">L. Hill </t>
  </si>
  <si>
    <t xml:space="preserve">D. Weinstock </t>
  </si>
  <si>
    <t>Sathya Sai Society of America</t>
  </si>
  <si>
    <t xml:space="preserve">M. &amp; J. Amiri </t>
  </si>
  <si>
    <t xml:space="preserve">M. &amp; D. Amirian </t>
  </si>
  <si>
    <t xml:space="preserve">M. Jaffe </t>
  </si>
  <si>
    <t xml:space="preserve">K. &amp; R. Thole </t>
  </si>
  <si>
    <t xml:space="preserve">N. &amp; A. Shlezinger </t>
  </si>
  <si>
    <t xml:space="preserve">S. Mokhtarzadeh </t>
  </si>
  <si>
    <t xml:space="preserve">C. Nathanson </t>
  </si>
  <si>
    <t xml:space="preserve">D. Shaaya </t>
  </si>
  <si>
    <t xml:space="preserve">N. Nassir </t>
  </si>
  <si>
    <t>K. &amp; R. Thole</t>
  </si>
  <si>
    <t xml:space="preserve">D. Hochman </t>
  </si>
  <si>
    <t>140.</t>
  </si>
  <si>
    <t xml:space="preserve">R. &amp; L. Chiavari </t>
  </si>
  <si>
    <t>141.</t>
  </si>
  <si>
    <t xml:space="preserve">R. Lima </t>
  </si>
  <si>
    <t>142.</t>
  </si>
  <si>
    <t xml:space="preserve">N. Anglade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</si>
</sst>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4"/>
      <color rgb="FF000000"/>
      <name val="Arial"/>
      <family val="2"/>
    </font>
    <font>
      <sz val="12"/>
      <color indexed="9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Fill="1"/>
    <xf numFmtId="0" fontId="2" fillId="2" borderId="0" xfId="0" applyFont="1" applyFill="1" applyAlignment="1">
      <alignment horizontal="left"/>
    </xf>
    <xf numFmtId="164" fontId="2" fillId="2" borderId="0" xfId="0" applyNumberFormat="1" applyFont="1" applyFill="1" applyAlignment="1">
      <alignment wrapText="1"/>
    </xf>
    <xf numFmtId="10" fontId="2" fillId="2" borderId="0" xfId="0" applyNumberFormat="1" applyFont="1" applyFill="1" applyAlignment="1">
      <alignment wrapText="1"/>
    </xf>
    <xf numFmtId="0" fontId="2" fillId="2" borderId="0" xfId="0" applyFont="1" applyFill="1" applyAlignment="1">
      <alignment wrapText="1"/>
    </xf>
    <xf numFmtId="49" fontId="3" fillId="0" borderId="0" xfId="0" applyNumberFormat="1" applyFont="1" applyFill="1"/>
    <xf numFmtId="0" fontId="3" fillId="0" borderId="0" xfId="0" applyFont="1" applyFill="1" applyAlignment="1">
      <alignment horizontal="left"/>
    </xf>
    <xf numFmtId="164" fontId="3" fillId="0" borderId="0" xfId="0" applyNumberFormat="1" applyFont="1" applyFill="1"/>
    <xf numFmtId="10" fontId="3" fillId="0" borderId="0" xfId="0" applyNumberFormat="1" applyFont="1" applyFill="1"/>
    <xf numFmtId="0" fontId="3" fillId="0" borderId="0" xfId="0" applyFont="1" applyFill="1"/>
    <xf numFmtId="1" fontId="3" fillId="0" borderId="0" xfId="0" applyNumberFormat="1" applyFont="1" applyFill="1"/>
    <xf numFmtId="49" fontId="3" fillId="3" borderId="0" xfId="0" applyNumberFormat="1" applyFont="1" applyFill="1"/>
    <xf numFmtId="0" fontId="3" fillId="3" borderId="0" xfId="0" applyFont="1" applyFill="1" applyAlignment="1">
      <alignment horizontal="left"/>
    </xf>
    <xf numFmtId="164" fontId="3" fillId="3" borderId="0" xfId="0" applyNumberFormat="1" applyFont="1" applyFill="1"/>
    <xf numFmtId="10" fontId="3" fillId="3" borderId="0" xfId="0" applyNumberFormat="1" applyFont="1" applyFill="1"/>
    <xf numFmtId="0" fontId="3" fillId="3" borderId="0" xfId="0" applyFont="1" applyFill="1"/>
    <xf numFmtId="1" fontId="3" fillId="3" borderId="0" xfId="0" applyNumberFormat="1" applyFont="1" applyFill="1"/>
    <xf numFmtId="0" fontId="2" fillId="2" borderId="0" xfId="0" applyFont="1" applyFill="1"/>
    <xf numFmtId="0" fontId="2" fillId="2" borderId="0" xfId="0" applyFont="1" applyFill="1" applyAlignment="1">
      <alignment horizontal="left" wrapText="1"/>
    </xf>
    <xf numFmtId="0" fontId="4" fillId="3" borderId="0" xfId="0" applyFont="1" applyFill="1" applyAlignment="1">
      <alignment horizontal="right"/>
    </xf>
    <xf numFmtId="164" fontId="4" fillId="3" borderId="0" xfId="0" applyNumberFormat="1" applyFont="1" applyFill="1"/>
    <xf numFmtId="10" fontId="4" fillId="3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390525</xdr:colOff>
          <xdr:row>1</xdr:row>
          <xdr:rowOff>9525</xdr:rowOff>
        </xdr:from>
        <xdr:to>
          <xdr:col>19</xdr:col>
          <xdr:colOff>381000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New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DBA26-F580-431F-8817-94F4A15487BB}">
  <dimension ref="A1:G219"/>
  <sheetViews>
    <sheetView workbookViewId="0">
      <selection sqref="A1:XFD1048576"/>
    </sheetView>
  </sheetViews>
  <sheetFormatPr defaultRowHeight="15.75" x14ac:dyDescent="0.25"/>
  <cols>
    <col min="1" max="1" width="5" style="10" bestFit="1" customWidth="1"/>
    <col min="2" max="2" width="26.28515625" style="7" customWidth="1"/>
    <col min="3" max="3" width="15.140625" style="10" customWidth="1"/>
    <col min="4" max="4" width="14" style="10" customWidth="1"/>
    <col min="5" max="5" width="9.140625" style="10"/>
    <col min="6" max="6" width="9.7109375" style="10" customWidth="1"/>
    <col min="7" max="7" width="10.42578125" style="10" customWidth="1"/>
    <col min="8" max="16384" width="9.140625" style="1"/>
  </cols>
  <sheetData>
    <row r="1" spans="1:7" ht="31.5" x14ac:dyDescent="0.25">
      <c r="A1" s="18"/>
      <c r="B1" s="2" t="s">
        <v>157</v>
      </c>
      <c r="C1" s="3" t="s">
        <v>158</v>
      </c>
      <c r="D1" s="3" t="s">
        <v>159</v>
      </c>
      <c r="E1" s="4" t="s">
        <v>160</v>
      </c>
      <c r="F1" s="5" t="s">
        <v>161</v>
      </c>
      <c r="G1" s="5" t="s">
        <v>162</v>
      </c>
    </row>
    <row r="2" spans="1:7" x14ac:dyDescent="0.25">
      <c r="A2" s="6" t="s">
        <v>18</v>
      </c>
      <c r="B2" s="7" t="s">
        <v>163</v>
      </c>
      <c r="C2" s="8">
        <v>4944274.18</v>
      </c>
      <c r="D2" s="8">
        <v>1038740.25</v>
      </c>
      <c r="E2" s="9">
        <v>0.210089532292079</v>
      </c>
      <c r="F2" s="10" t="s">
        <v>0</v>
      </c>
      <c r="G2" s="11">
        <f>(D2 / F2)</f>
        <v>76.94372222222222</v>
      </c>
    </row>
    <row r="3" spans="1:7" x14ac:dyDescent="0.25">
      <c r="A3" s="6" t="s">
        <v>19</v>
      </c>
      <c r="B3" s="7" t="s">
        <v>168</v>
      </c>
      <c r="C3" s="8">
        <v>4302239.83</v>
      </c>
      <c r="D3" s="8">
        <v>1384482.06</v>
      </c>
      <c r="E3" s="9">
        <v>0.321804946889723</v>
      </c>
      <c r="F3" s="10" t="s">
        <v>17</v>
      </c>
      <c r="G3" s="10" t="s">
        <v>17</v>
      </c>
    </row>
    <row r="4" spans="1:7" x14ac:dyDescent="0.25">
      <c r="A4" s="6" t="s">
        <v>20</v>
      </c>
      <c r="B4" s="7" t="s">
        <v>165</v>
      </c>
      <c r="C4" s="8">
        <v>3282797.2708999999</v>
      </c>
      <c r="D4" s="8">
        <v>726431.4</v>
      </c>
      <c r="E4" s="9">
        <v>0.221284270716127</v>
      </c>
      <c r="F4" s="10" t="s">
        <v>17</v>
      </c>
      <c r="G4" s="10" t="s">
        <v>17</v>
      </c>
    </row>
    <row r="5" spans="1:7" x14ac:dyDescent="0.25">
      <c r="A5" s="6" t="s">
        <v>21</v>
      </c>
      <c r="B5" s="7" t="s">
        <v>166</v>
      </c>
      <c r="C5" s="8">
        <v>2916874.83</v>
      </c>
      <c r="D5" s="8">
        <v>506193.5</v>
      </c>
      <c r="E5" s="9">
        <v>0.17353967156691499</v>
      </c>
      <c r="F5" s="10" t="s">
        <v>17</v>
      </c>
      <c r="G5" s="10" t="s">
        <v>17</v>
      </c>
    </row>
    <row r="6" spans="1:7" x14ac:dyDescent="0.25">
      <c r="A6" s="6" t="s">
        <v>22</v>
      </c>
      <c r="B6" s="7" t="s">
        <v>164</v>
      </c>
      <c r="C6" s="8">
        <v>2906562.38</v>
      </c>
      <c r="D6" s="8">
        <v>567718.78</v>
      </c>
      <c r="E6" s="9">
        <v>0.19532310192496199</v>
      </c>
      <c r="F6" s="10" t="s">
        <v>1</v>
      </c>
      <c r="G6" s="11">
        <f>(D6 / F6)</f>
        <v>61.507993499458294</v>
      </c>
    </row>
    <row r="7" spans="1:7" x14ac:dyDescent="0.25">
      <c r="A7" s="6" t="s">
        <v>23</v>
      </c>
      <c r="B7" s="7" t="s">
        <v>167</v>
      </c>
      <c r="C7" s="8">
        <v>2560983.0499999998</v>
      </c>
      <c r="D7" s="8">
        <v>1115367.8</v>
      </c>
      <c r="E7" s="9">
        <v>0.43552330422491498</v>
      </c>
      <c r="F7" s="10" t="s">
        <v>2</v>
      </c>
      <c r="G7" s="11">
        <f>(D7 / F7)</f>
        <v>434.3332554517134</v>
      </c>
    </row>
    <row r="8" spans="1:7" x14ac:dyDescent="0.25">
      <c r="A8" s="6" t="s">
        <v>24</v>
      </c>
      <c r="B8" s="7" t="s">
        <v>169</v>
      </c>
      <c r="C8" s="8">
        <v>2270185.65</v>
      </c>
      <c r="D8" s="8">
        <v>351629.02</v>
      </c>
      <c r="E8" s="9">
        <v>0.15488998443805699</v>
      </c>
      <c r="F8" s="10" t="s">
        <v>293</v>
      </c>
      <c r="G8" s="11">
        <f>(D8 / F8)</f>
        <v>37.013581052631579</v>
      </c>
    </row>
    <row r="9" spans="1:7" x14ac:dyDescent="0.25">
      <c r="A9" s="6" t="s">
        <v>25</v>
      </c>
      <c r="B9" s="7" t="s">
        <v>170</v>
      </c>
      <c r="C9" s="8">
        <v>2085714.54</v>
      </c>
      <c r="D9" s="8">
        <v>300504.77</v>
      </c>
      <c r="E9" s="9">
        <v>0.14407761188642801</v>
      </c>
      <c r="F9" s="10" t="s">
        <v>3</v>
      </c>
      <c r="G9" s="11">
        <f>(D9 / F9)</f>
        <v>37.563096250000001</v>
      </c>
    </row>
    <row r="10" spans="1:7" x14ac:dyDescent="0.25">
      <c r="A10" s="6" t="s">
        <v>26</v>
      </c>
      <c r="B10" s="7" t="s">
        <v>171</v>
      </c>
      <c r="C10" s="8">
        <v>2012032.17</v>
      </c>
      <c r="D10" s="8">
        <v>352405.27</v>
      </c>
      <c r="E10" s="9">
        <v>0.175148924184448</v>
      </c>
      <c r="F10" s="10" t="s">
        <v>17</v>
      </c>
      <c r="G10" s="10" t="s">
        <v>17</v>
      </c>
    </row>
    <row r="11" spans="1:7" x14ac:dyDescent="0.25">
      <c r="A11" s="6" t="s">
        <v>27</v>
      </c>
      <c r="B11" s="7" t="s">
        <v>172</v>
      </c>
      <c r="C11" s="8">
        <v>1902077.67</v>
      </c>
      <c r="D11" s="8">
        <v>427479.93</v>
      </c>
      <c r="E11" s="9">
        <v>0.22474367726529301</v>
      </c>
      <c r="F11" s="10" t="s">
        <v>17</v>
      </c>
      <c r="G11" s="10" t="s">
        <v>17</v>
      </c>
    </row>
    <row r="12" spans="1:7" x14ac:dyDescent="0.25">
      <c r="A12" s="6" t="s">
        <v>28</v>
      </c>
      <c r="B12" s="7" t="s">
        <v>316</v>
      </c>
      <c r="C12" s="8">
        <v>1892034.8478999999</v>
      </c>
      <c r="D12" s="8">
        <v>1040153.23</v>
      </c>
      <c r="E12" s="9">
        <v>0.549753737968665</v>
      </c>
      <c r="F12" s="10" t="s">
        <v>17</v>
      </c>
      <c r="G12" s="10" t="s">
        <v>17</v>
      </c>
    </row>
    <row r="13" spans="1:7" x14ac:dyDescent="0.25">
      <c r="A13" s="6" t="s">
        <v>29</v>
      </c>
      <c r="B13" s="7" t="s">
        <v>173</v>
      </c>
      <c r="C13" s="8">
        <v>1810909.26</v>
      </c>
      <c r="D13" s="8">
        <v>334980.28999999998</v>
      </c>
      <c r="E13" s="9">
        <v>0.18497905853107199</v>
      </c>
      <c r="F13" s="10" t="s">
        <v>4</v>
      </c>
      <c r="G13" s="11">
        <f>(D13 / F13)</f>
        <v>55.83004833333333</v>
      </c>
    </row>
    <row r="14" spans="1:7" x14ac:dyDescent="0.25">
      <c r="A14" s="6" t="s">
        <v>30</v>
      </c>
      <c r="B14" s="7" t="s">
        <v>299</v>
      </c>
      <c r="C14" s="8">
        <v>1716374.69</v>
      </c>
      <c r="D14" s="8">
        <v>1161477.26</v>
      </c>
      <c r="E14" s="9">
        <v>0.67670379129163205</v>
      </c>
      <c r="F14" s="10" t="s">
        <v>17</v>
      </c>
      <c r="G14" s="10" t="s">
        <v>17</v>
      </c>
    </row>
    <row r="15" spans="1:7" x14ac:dyDescent="0.25">
      <c r="A15" s="6" t="s">
        <v>31</v>
      </c>
      <c r="B15" s="7" t="s">
        <v>175</v>
      </c>
      <c r="C15" s="8">
        <v>1323955.1299999999</v>
      </c>
      <c r="D15" s="8">
        <v>278703.61</v>
      </c>
      <c r="E15" s="9">
        <v>0.210508350082831</v>
      </c>
      <c r="F15" s="10" t="s">
        <v>17</v>
      </c>
      <c r="G15" s="10" t="s">
        <v>17</v>
      </c>
    </row>
    <row r="16" spans="1:7" x14ac:dyDescent="0.25">
      <c r="A16" s="6" t="s">
        <v>32</v>
      </c>
      <c r="B16" s="7" t="s">
        <v>296</v>
      </c>
      <c r="C16" s="8">
        <v>1245557.8700000001</v>
      </c>
      <c r="D16" s="8">
        <v>126993</v>
      </c>
      <c r="E16" s="9">
        <v>0.10195672401797</v>
      </c>
      <c r="F16" s="10" t="s">
        <v>17</v>
      </c>
      <c r="G16" s="10" t="s">
        <v>17</v>
      </c>
    </row>
    <row r="17" spans="1:7" x14ac:dyDescent="0.25">
      <c r="A17" s="6" t="s">
        <v>33</v>
      </c>
      <c r="B17" s="7" t="s">
        <v>177</v>
      </c>
      <c r="C17" s="8">
        <v>1225409.23</v>
      </c>
      <c r="D17" s="8">
        <v>267836.69</v>
      </c>
      <c r="E17" s="9">
        <v>0.218569179538496</v>
      </c>
      <c r="F17" s="10" t="s">
        <v>5</v>
      </c>
      <c r="G17" s="11">
        <f>(D17 / F17)</f>
        <v>119.03852888888889</v>
      </c>
    </row>
    <row r="18" spans="1:7" x14ac:dyDescent="0.25">
      <c r="A18" s="6" t="s">
        <v>34</v>
      </c>
      <c r="B18" s="7" t="s">
        <v>178</v>
      </c>
      <c r="C18" s="8">
        <v>1218905.3400000001</v>
      </c>
      <c r="D18" s="8">
        <v>266856.95</v>
      </c>
      <c r="E18" s="9">
        <v>0.21893164402741899</v>
      </c>
      <c r="F18" s="10" t="s">
        <v>17</v>
      </c>
      <c r="G18" s="10" t="s">
        <v>17</v>
      </c>
    </row>
    <row r="19" spans="1:7" x14ac:dyDescent="0.25">
      <c r="A19" s="6" t="s">
        <v>35</v>
      </c>
      <c r="B19" s="7" t="s">
        <v>176</v>
      </c>
      <c r="C19" s="8">
        <v>1214875.75</v>
      </c>
      <c r="D19" s="8">
        <v>305558.51</v>
      </c>
      <c r="E19" s="9">
        <v>0.251514206288174</v>
      </c>
      <c r="F19" s="10" t="s">
        <v>17</v>
      </c>
      <c r="G19" s="10" t="s">
        <v>17</v>
      </c>
    </row>
    <row r="20" spans="1:7" x14ac:dyDescent="0.25">
      <c r="A20" s="6" t="s">
        <v>36</v>
      </c>
      <c r="B20" s="7" t="s">
        <v>182</v>
      </c>
      <c r="C20" s="8">
        <v>1187356.67</v>
      </c>
      <c r="D20" s="8">
        <v>39679.58</v>
      </c>
      <c r="E20" s="9">
        <v>3.3418416725616198E-2</v>
      </c>
      <c r="F20" s="10" t="s">
        <v>17</v>
      </c>
      <c r="G20" s="10" t="s">
        <v>17</v>
      </c>
    </row>
    <row r="21" spans="1:7" x14ac:dyDescent="0.25">
      <c r="A21" s="6" t="s">
        <v>37</v>
      </c>
      <c r="B21" s="7" t="s">
        <v>180</v>
      </c>
      <c r="C21" s="8">
        <v>1123810.24</v>
      </c>
      <c r="D21" s="8">
        <v>311328.62</v>
      </c>
      <c r="E21" s="9">
        <v>0.277029527689657</v>
      </c>
      <c r="F21" s="10" t="s">
        <v>17</v>
      </c>
      <c r="G21" s="10" t="s">
        <v>17</v>
      </c>
    </row>
    <row r="22" spans="1:7" x14ac:dyDescent="0.25">
      <c r="A22" s="6" t="s">
        <v>38</v>
      </c>
      <c r="B22" s="7" t="s">
        <v>189</v>
      </c>
      <c r="C22" s="8">
        <v>1119334.58</v>
      </c>
      <c r="D22" s="8">
        <v>302990.17</v>
      </c>
      <c r="E22" s="9">
        <v>0.27068775986533</v>
      </c>
      <c r="F22" s="10" t="s">
        <v>17</v>
      </c>
      <c r="G22" s="10" t="s">
        <v>17</v>
      </c>
    </row>
    <row r="23" spans="1:7" x14ac:dyDescent="0.25">
      <c r="A23" s="6" t="s">
        <v>39</v>
      </c>
      <c r="B23" s="7" t="s">
        <v>184</v>
      </c>
      <c r="C23" s="8">
        <v>1113338.93</v>
      </c>
      <c r="D23" s="8">
        <v>116540.74</v>
      </c>
      <c r="E23" s="9">
        <v>0.104676785172688</v>
      </c>
      <c r="F23" s="10" t="s">
        <v>17</v>
      </c>
      <c r="G23" s="10" t="s">
        <v>17</v>
      </c>
    </row>
    <row r="24" spans="1:7" x14ac:dyDescent="0.25">
      <c r="A24" s="6" t="s">
        <v>40</v>
      </c>
      <c r="B24" s="7" t="s">
        <v>186</v>
      </c>
      <c r="C24" s="8">
        <v>1106179.1100000001</v>
      </c>
      <c r="D24" s="8">
        <v>23501.759999999998</v>
      </c>
      <c r="E24" s="9">
        <v>2.12458902790164E-2</v>
      </c>
      <c r="F24" s="10" t="s">
        <v>17</v>
      </c>
      <c r="G24" s="10" t="s">
        <v>17</v>
      </c>
    </row>
    <row r="25" spans="1:7" x14ac:dyDescent="0.25">
      <c r="A25" s="6" t="s">
        <v>41</v>
      </c>
      <c r="B25" s="7" t="s">
        <v>179</v>
      </c>
      <c r="C25" s="8">
        <v>1098393.2</v>
      </c>
      <c r="D25" s="8">
        <v>247990.05</v>
      </c>
      <c r="E25" s="9">
        <v>0.225775296132569</v>
      </c>
      <c r="F25" s="10" t="s">
        <v>4</v>
      </c>
      <c r="G25" s="11">
        <f>(D25 / F25)</f>
        <v>41.331674999999997</v>
      </c>
    </row>
    <row r="26" spans="1:7" x14ac:dyDescent="0.25">
      <c r="A26" s="12" t="s">
        <v>42</v>
      </c>
      <c r="B26" s="13" t="s">
        <v>181</v>
      </c>
      <c r="C26" s="14">
        <v>1024379.7889</v>
      </c>
      <c r="D26" s="14">
        <v>263013.75</v>
      </c>
      <c r="E26" s="15">
        <v>0.25675413830882898</v>
      </c>
      <c r="F26" s="16" t="s">
        <v>6</v>
      </c>
      <c r="G26" s="17">
        <f>(D26 / F26)</f>
        <v>26.301375</v>
      </c>
    </row>
    <row r="27" spans="1:7" x14ac:dyDescent="0.25">
      <c r="A27" s="6" t="s">
        <v>43</v>
      </c>
      <c r="B27" s="7" t="s">
        <v>206</v>
      </c>
      <c r="C27" s="8">
        <v>1007948.31</v>
      </c>
      <c r="D27" s="8">
        <v>427648.74</v>
      </c>
      <c r="E27" s="9">
        <v>0.42427645917676099</v>
      </c>
      <c r="F27" s="10" t="s">
        <v>17</v>
      </c>
      <c r="G27" s="10" t="s">
        <v>17</v>
      </c>
    </row>
    <row r="28" spans="1:7" x14ac:dyDescent="0.25">
      <c r="A28" s="6" t="s">
        <v>44</v>
      </c>
      <c r="B28" s="7" t="s">
        <v>300</v>
      </c>
      <c r="C28" s="8">
        <v>992482.23</v>
      </c>
      <c r="D28" s="8">
        <v>241980.86</v>
      </c>
      <c r="E28" s="9">
        <v>0.243813796041467</v>
      </c>
      <c r="F28" s="10" t="s">
        <v>17</v>
      </c>
      <c r="G28" s="10" t="s">
        <v>17</v>
      </c>
    </row>
    <row r="29" spans="1:7" x14ac:dyDescent="0.25">
      <c r="A29" s="6" t="s">
        <v>45</v>
      </c>
      <c r="B29" s="7" t="s">
        <v>187</v>
      </c>
      <c r="C29" s="8">
        <v>956721.21</v>
      </c>
      <c r="D29" s="8">
        <v>192037.37</v>
      </c>
      <c r="E29" s="9">
        <v>0.200724482736199</v>
      </c>
      <c r="F29" s="10" t="s">
        <v>17</v>
      </c>
      <c r="G29" s="10" t="s">
        <v>17</v>
      </c>
    </row>
    <row r="30" spans="1:7" x14ac:dyDescent="0.25">
      <c r="A30" s="6" t="s">
        <v>46</v>
      </c>
      <c r="B30" s="7" t="s">
        <v>188</v>
      </c>
      <c r="C30" s="8">
        <v>946610.24</v>
      </c>
      <c r="D30" s="8">
        <v>175202.24</v>
      </c>
      <c r="E30" s="9">
        <v>0.18508382077083799</v>
      </c>
      <c r="F30" s="10" t="s">
        <v>17</v>
      </c>
      <c r="G30" s="10" t="s">
        <v>17</v>
      </c>
    </row>
    <row r="31" spans="1:7" x14ac:dyDescent="0.25">
      <c r="A31" s="6" t="s">
        <v>47</v>
      </c>
      <c r="B31" s="7" t="s">
        <v>199</v>
      </c>
      <c r="C31" s="8">
        <v>927204.08</v>
      </c>
      <c r="D31" s="8">
        <v>318137.06</v>
      </c>
      <c r="E31" s="9">
        <v>0.34311438750355799</v>
      </c>
      <c r="F31" s="10" t="s">
        <v>12</v>
      </c>
      <c r="G31" s="11">
        <f>(D31 / F31)</f>
        <v>70.697124444444441</v>
      </c>
    </row>
    <row r="32" spans="1:7" x14ac:dyDescent="0.25">
      <c r="A32" s="6" t="s">
        <v>48</v>
      </c>
      <c r="B32" s="7" t="s">
        <v>174</v>
      </c>
      <c r="C32" s="8">
        <v>925356.56</v>
      </c>
      <c r="D32" s="8">
        <v>801140.23</v>
      </c>
      <c r="E32" s="9">
        <v>0.86576381973236305</v>
      </c>
      <c r="F32" s="10" t="s">
        <v>17</v>
      </c>
      <c r="G32" s="10" t="s">
        <v>17</v>
      </c>
    </row>
    <row r="33" spans="1:7" x14ac:dyDescent="0.25">
      <c r="A33" s="6" t="s">
        <v>49</v>
      </c>
      <c r="B33" s="7" t="s">
        <v>185</v>
      </c>
      <c r="C33" s="8">
        <v>895729.69</v>
      </c>
      <c r="D33" s="8">
        <v>207147.99</v>
      </c>
      <c r="E33" s="9">
        <v>0.23126172137935899</v>
      </c>
      <c r="F33" s="10" t="s">
        <v>7</v>
      </c>
      <c r="G33" s="11">
        <f>(D33 / F33)</f>
        <v>59.185139999999997</v>
      </c>
    </row>
    <row r="34" spans="1:7" x14ac:dyDescent="0.25">
      <c r="A34" s="6" t="s">
        <v>50</v>
      </c>
      <c r="B34" s="7" t="s">
        <v>190</v>
      </c>
      <c r="C34" s="8">
        <v>873897.59</v>
      </c>
      <c r="D34" s="8">
        <v>260066</v>
      </c>
      <c r="E34" s="9">
        <v>0.29759322256512899</v>
      </c>
      <c r="F34" s="10" t="s">
        <v>17</v>
      </c>
      <c r="G34" s="10" t="s">
        <v>17</v>
      </c>
    </row>
    <row r="35" spans="1:7" x14ac:dyDescent="0.25">
      <c r="A35" s="6" t="s">
        <v>51</v>
      </c>
      <c r="B35" s="7" t="s">
        <v>194</v>
      </c>
      <c r="C35" s="8">
        <v>842214.39</v>
      </c>
      <c r="D35" s="8">
        <v>162627.5</v>
      </c>
      <c r="E35" s="9">
        <v>0.19309513341371401</v>
      </c>
      <c r="F35" s="10" t="s">
        <v>10</v>
      </c>
      <c r="G35" s="11">
        <f>(D35 / F35)</f>
        <v>325.255</v>
      </c>
    </row>
    <row r="36" spans="1:7" x14ac:dyDescent="0.25">
      <c r="A36" s="6" t="s">
        <v>52</v>
      </c>
      <c r="B36" s="7" t="s">
        <v>192</v>
      </c>
      <c r="C36" s="8">
        <v>839791.87</v>
      </c>
      <c r="D36" s="8">
        <v>185385.16</v>
      </c>
      <c r="E36" s="9">
        <v>0.22075131544200299</v>
      </c>
      <c r="F36" s="10" t="s">
        <v>17</v>
      </c>
      <c r="G36" s="10" t="s">
        <v>17</v>
      </c>
    </row>
    <row r="37" spans="1:7" x14ac:dyDescent="0.25">
      <c r="A37" s="6" t="s">
        <v>53</v>
      </c>
      <c r="B37" s="7" t="s">
        <v>193</v>
      </c>
      <c r="C37" s="8">
        <v>806870.25</v>
      </c>
      <c r="D37" s="8">
        <v>154266.98000000001</v>
      </c>
      <c r="E37" s="9">
        <v>0.19119180562178401</v>
      </c>
      <c r="F37" s="10" t="s">
        <v>9</v>
      </c>
      <c r="G37" s="11">
        <f>(D37 / F37)</f>
        <v>60.496854901960788</v>
      </c>
    </row>
    <row r="38" spans="1:7" x14ac:dyDescent="0.25">
      <c r="A38" s="6" t="s">
        <v>54</v>
      </c>
      <c r="B38" s="7" t="s">
        <v>301</v>
      </c>
      <c r="C38" s="8">
        <v>803572.77</v>
      </c>
      <c r="D38" s="8">
        <v>569005.39</v>
      </c>
      <c r="E38" s="9">
        <v>0.70809441439883503</v>
      </c>
      <c r="F38" s="10" t="s">
        <v>17</v>
      </c>
      <c r="G38" s="10" t="s">
        <v>17</v>
      </c>
    </row>
    <row r="39" spans="1:7" x14ac:dyDescent="0.25">
      <c r="A39" s="6" t="s">
        <v>55</v>
      </c>
      <c r="B39" s="7" t="s">
        <v>195</v>
      </c>
      <c r="C39" s="8">
        <v>797598.89</v>
      </c>
      <c r="D39" s="8">
        <v>194095.85</v>
      </c>
      <c r="E39" s="9">
        <v>0.243350200750656</v>
      </c>
      <c r="F39" s="10" t="s">
        <v>17</v>
      </c>
      <c r="G39" s="10" t="s">
        <v>17</v>
      </c>
    </row>
    <row r="40" spans="1:7" x14ac:dyDescent="0.25">
      <c r="A40" s="6" t="s">
        <v>56</v>
      </c>
      <c r="B40" s="7" t="s">
        <v>191</v>
      </c>
      <c r="C40" s="8">
        <v>797352.86</v>
      </c>
      <c r="D40" s="8">
        <v>172849.22</v>
      </c>
      <c r="E40" s="9">
        <v>0.21677882988969299</v>
      </c>
      <c r="F40" s="10" t="s">
        <v>8</v>
      </c>
      <c r="G40" s="11">
        <f>(D40 / F40)</f>
        <v>64.01822962962963</v>
      </c>
    </row>
    <row r="41" spans="1:7" x14ac:dyDescent="0.25">
      <c r="A41" s="6" t="s">
        <v>57</v>
      </c>
      <c r="B41" s="7" t="s">
        <v>302</v>
      </c>
      <c r="C41" s="8">
        <v>752300.36</v>
      </c>
      <c r="D41" s="8">
        <v>406829.42</v>
      </c>
      <c r="E41" s="9">
        <v>0.54078057333376806</v>
      </c>
      <c r="F41" s="10" t="s">
        <v>17</v>
      </c>
      <c r="G41" s="10" t="s">
        <v>17</v>
      </c>
    </row>
    <row r="42" spans="1:7" x14ac:dyDescent="0.25">
      <c r="A42" s="6" t="s">
        <v>58</v>
      </c>
      <c r="B42" s="7" t="s">
        <v>252</v>
      </c>
      <c r="C42" s="8">
        <v>709385.77</v>
      </c>
      <c r="D42" s="8">
        <v>134392.70000000001</v>
      </c>
      <c r="E42" s="9">
        <v>0.18944938802479799</v>
      </c>
      <c r="F42" s="10" t="s">
        <v>17</v>
      </c>
      <c r="G42" s="10" t="s">
        <v>17</v>
      </c>
    </row>
    <row r="43" spans="1:7" x14ac:dyDescent="0.25">
      <c r="A43" s="6" t="s">
        <v>59</v>
      </c>
      <c r="B43" s="7" t="s">
        <v>196</v>
      </c>
      <c r="C43" s="8">
        <v>694983.71</v>
      </c>
      <c r="D43" s="8">
        <v>94582.94</v>
      </c>
      <c r="E43" s="9">
        <v>0.13609375103194901</v>
      </c>
      <c r="F43" s="10" t="s">
        <v>17</v>
      </c>
      <c r="G43" s="10" t="s">
        <v>17</v>
      </c>
    </row>
    <row r="44" spans="1:7" x14ac:dyDescent="0.25">
      <c r="A44" s="6" t="s">
        <v>60</v>
      </c>
      <c r="B44" s="7" t="s">
        <v>198</v>
      </c>
      <c r="C44" s="8">
        <v>683137.56</v>
      </c>
      <c r="D44" s="8">
        <v>110601.57</v>
      </c>
      <c r="E44" s="9">
        <v>0.16190234072329401</v>
      </c>
      <c r="F44" s="10" t="s">
        <v>17</v>
      </c>
      <c r="G44" s="10" t="s">
        <v>17</v>
      </c>
    </row>
    <row r="45" spans="1:7" x14ac:dyDescent="0.25">
      <c r="A45" s="6" t="s">
        <v>61</v>
      </c>
      <c r="B45" s="7" t="s">
        <v>201</v>
      </c>
      <c r="C45" s="8">
        <v>629239.96</v>
      </c>
      <c r="D45" s="8">
        <v>119956.11</v>
      </c>
      <c r="E45" s="9">
        <v>0.19063651011610899</v>
      </c>
      <c r="F45" s="10" t="s">
        <v>13</v>
      </c>
      <c r="G45" s="11">
        <f>(D45 / F45)</f>
        <v>39.985370000000003</v>
      </c>
    </row>
    <row r="46" spans="1:7" x14ac:dyDescent="0.25">
      <c r="A46" s="6" t="s">
        <v>62</v>
      </c>
      <c r="B46" s="7" t="s">
        <v>213</v>
      </c>
      <c r="C46" s="8">
        <v>624704.77</v>
      </c>
      <c r="D46" s="8">
        <v>7093.76</v>
      </c>
      <c r="E46" s="9">
        <v>1.13553799181012E-2</v>
      </c>
      <c r="F46" s="10" t="s">
        <v>17</v>
      </c>
      <c r="G46" s="10" t="s">
        <v>17</v>
      </c>
    </row>
    <row r="47" spans="1:7" x14ac:dyDescent="0.25">
      <c r="A47" s="6" t="s">
        <v>63</v>
      </c>
      <c r="B47" s="7" t="s">
        <v>197</v>
      </c>
      <c r="C47" s="8">
        <v>616961.80000000005</v>
      </c>
      <c r="D47" s="8">
        <v>159593.79</v>
      </c>
      <c r="E47" s="9">
        <v>0.25867693915571399</v>
      </c>
      <c r="F47" s="10" t="s">
        <v>11</v>
      </c>
      <c r="G47" s="11">
        <f>(D47 / F47)</f>
        <v>42.406923013559584</v>
      </c>
    </row>
    <row r="48" spans="1:7" x14ac:dyDescent="0.25">
      <c r="A48" s="6" t="s">
        <v>64</v>
      </c>
      <c r="B48" s="7" t="s">
        <v>205</v>
      </c>
      <c r="C48" s="8">
        <v>587517.41</v>
      </c>
      <c r="D48" s="8">
        <v>86873.38</v>
      </c>
      <c r="E48" s="9">
        <v>0.14786520113506099</v>
      </c>
      <c r="F48" s="10" t="s">
        <v>17</v>
      </c>
      <c r="G48" s="10" t="s">
        <v>17</v>
      </c>
    </row>
    <row r="49" spans="1:7" x14ac:dyDescent="0.25">
      <c r="A49" s="6" t="s">
        <v>65</v>
      </c>
      <c r="B49" s="7" t="s">
        <v>202</v>
      </c>
      <c r="C49" s="8">
        <v>555837.84</v>
      </c>
      <c r="D49" s="8">
        <v>115791.6</v>
      </c>
      <c r="E49" s="9">
        <v>0.20831903060072299</v>
      </c>
      <c r="F49" s="10" t="s">
        <v>17</v>
      </c>
      <c r="G49" s="10" t="s">
        <v>17</v>
      </c>
    </row>
    <row r="50" spans="1:7" x14ac:dyDescent="0.25">
      <c r="A50" s="6" t="s">
        <v>66</v>
      </c>
      <c r="B50" s="7" t="s">
        <v>203</v>
      </c>
      <c r="C50" s="8">
        <v>549533.81999999995</v>
      </c>
      <c r="D50" s="8">
        <v>64536.800000000003</v>
      </c>
      <c r="E50" s="9">
        <v>0.117439177810749</v>
      </c>
      <c r="F50" s="10" t="s">
        <v>17</v>
      </c>
      <c r="G50" s="10" t="s">
        <v>17</v>
      </c>
    </row>
    <row r="51" spans="1:7" x14ac:dyDescent="0.25">
      <c r="A51" s="6" t="s">
        <v>67</v>
      </c>
      <c r="B51" s="7" t="s">
        <v>204</v>
      </c>
      <c r="C51" s="8">
        <v>518825.56</v>
      </c>
      <c r="D51" s="8">
        <v>104161.24</v>
      </c>
      <c r="E51" s="9">
        <v>0.20076350902989401</v>
      </c>
      <c r="F51" s="10" t="s">
        <v>17</v>
      </c>
      <c r="G51" s="10" t="s">
        <v>17</v>
      </c>
    </row>
    <row r="52" spans="1:7" x14ac:dyDescent="0.25">
      <c r="A52" s="6" t="s">
        <v>68</v>
      </c>
      <c r="B52" s="7" t="s">
        <v>219</v>
      </c>
      <c r="C52" s="8">
        <v>492118.76</v>
      </c>
      <c r="D52" s="8">
        <v>33330.47</v>
      </c>
      <c r="E52" s="9">
        <v>6.7728509272843004E-2</v>
      </c>
      <c r="F52" s="10" t="s">
        <v>17</v>
      </c>
      <c r="G52" s="10" t="s">
        <v>17</v>
      </c>
    </row>
    <row r="53" spans="1:7" x14ac:dyDescent="0.25">
      <c r="A53" s="6" t="s">
        <v>69</v>
      </c>
      <c r="B53" s="7" t="s">
        <v>237</v>
      </c>
      <c r="C53" s="8">
        <v>490206.75</v>
      </c>
      <c r="D53" s="8">
        <v>211352.86</v>
      </c>
      <c r="E53" s="9">
        <v>0.43115044825474202</v>
      </c>
      <c r="F53" s="10" t="s">
        <v>17</v>
      </c>
      <c r="G53" s="10" t="s">
        <v>17</v>
      </c>
    </row>
    <row r="54" spans="1:7" x14ac:dyDescent="0.25">
      <c r="A54" s="6" t="s">
        <v>70</v>
      </c>
      <c r="B54" s="7" t="s">
        <v>200</v>
      </c>
      <c r="C54" s="8">
        <v>473132.42</v>
      </c>
      <c r="D54" s="8">
        <v>95361.95</v>
      </c>
      <c r="E54" s="9">
        <v>0.201554461222505</v>
      </c>
      <c r="F54" s="10" t="s">
        <v>17</v>
      </c>
      <c r="G54" s="10" t="s">
        <v>17</v>
      </c>
    </row>
    <row r="55" spans="1:7" x14ac:dyDescent="0.25">
      <c r="A55" s="6" t="s">
        <v>71</v>
      </c>
      <c r="B55" s="7" t="s">
        <v>207</v>
      </c>
      <c r="C55" s="8">
        <v>458651.12</v>
      </c>
      <c r="D55" s="8">
        <v>137549.44</v>
      </c>
      <c r="E55" s="9">
        <v>0.299899932654694</v>
      </c>
      <c r="F55" s="10" t="s">
        <v>17</v>
      </c>
      <c r="G55" s="10" t="s">
        <v>17</v>
      </c>
    </row>
    <row r="56" spans="1:7" x14ac:dyDescent="0.25">
      <c r="A56" s="6" t="s">
        <v>72</v>
      </c>
      <c r="B56" s="7" t="s">
        <v>215</v>
      </c>
      <c r="C56" s="8">
        <v>458502.8</v>
      </c>
      <c r="D56" s="8">
        <v>72893.960000000006</v>
      </c>
      <c r="E56" s="9">
        <v>0.15898258418487299</v>
      </c>
      <c r="F56" s="10" t="s">
        <v>17</v>
      </c>
      <c r="G56" s="10" t="s">
        <v>17</v>
      </c>
    </row>
    <row r="57" spans="1:7" x14ac:dyDescent="0.25">
      <c r="A57" s="6" t="s">
        <v>73</v>
      </c>
      <c r="B57" s="7" t="s">
        <v>208</v>
      </c>
      <c r="C57" s="8">
        <v>455943.01909999998</v>
      </c>
      <c r="D57" s="8">
        <v>94871.4</v>
      </c>
      <c r="E57" s="9">
        <v>0.20807731673854701</v>
      </c>
      <c r="F57" s="10" t="s">
        <v>14</v>
      </c>
      <c r="G57" s="11">
        <f>(D57 / F57)</f>
        <v>37.948560000000001</v>
      </c>
    </row>
    <row r="58" spans="1:7" x14ac:dyDescent="0.25">
      <c r="A58" s="6" t="s">
        <v>74</v>
      </c>
      <c r="B58" s="7" t="s">
        <v>221</v>
      </c>
      <c r="C58" s="8">
        <v>449244.21</v>
      </c>
      <c r="D58" s="8">
        <v>162817.44</v>
      </c>
      <c r="E58" s="9">
        <v>0.362425238602407</v>
      </c>
      <c r="F58" s="10" t="s">
        <v>17</v>
      </c>
      <c r="G58" s="10" t="s">
        <v>17</v>
      </c>
    </row>
    <row r="59" spans="1:7" x14ac:dyDescent="0.25">
      <c r="A59" s="6" t="s">
        <v>75</v>
      </c>
      <c r="B59" s="7" t="s">
        <v>250</v>
      </c>
      <c r="C59" s="8">
        <v>437703.54</v>
      </c>
      <c r="D59" s="8">
        <v>220059.54</v>
      </c>
      <c r="E59" s="9">
        <v>0.50275933340635104</v>
      </c>
      <c r="F59" s="10" t="s">
        <v>17</v>
      </c>
      <c r="G59" s="10" t="s">
        <v>17</v>
      </c>
    </row>
    <row r="60" spans="1:7" x14ac:dyDescent="0.25">
      <c r="A60" s="6" t="s">
        <v>76</v>
      </c>
      <c r="B60" s="7" t="s">
        <v>223</v>
      </c>
      <c r="C60" s="8">
        <v>422414.67</v>
      </c>
      <c r="D60" s="8">
        <v>57189.34</v>
      </c>
      <c r="E60" s="9">
        <v>0.13538672792779699</v>
      </c>
      <c r="F60" s="10" t="s">
        <v>17</v>
      </c>
      <c r="G60" s="10" t="s">
        <v>17</v>
      </c>
    </row>
    <row r="61" spans="1:7" x14ac:dyDescent="0.25">
      <c r="A61" s="6" t="s">
        <v>77</v>
      </c>
      <c r="B61" s="7" t="s">
        <v>214</v>
      </c>
      <c r="C61" s="8">
        <v>401672.88</v>
      </c>
      <c r="D61" s="8">
        <v>19167.599999999999</v>
      </c>
      <c r="E61" s="9">
        <v>4.7719427809017098E-2</v>
      </c>
      <c r="F61" s="10" t="s">
        <v>17</v>
      </c>
      <c r="G61" s="10" t="s">
        <v>17</v>
      </c>
    </row>
    <row r="62" spans="1:7" x14ac:dyDescent="0.25">
      <c r="A62" s="6" t="s">
        <v>78</v>
      </c>
      <c r="B62" s="7" t="s">
        <v>304</v>
      </c>
      <c r="C62" s="8">
        <v>401294.8</v>
      </c>
      <c r="D62" s="8">
        <v>93128.35</v>
      </c>
      <c r="E62" s="9">
        <v>0.2320696654928</v>
      </c>
      <c r="F62" s="10" t="s">
        <v>17</v>
      </c>
      <c r="G62" s="10" t="s">
        <v>17</v>
      </c>
    </row>
    <row r="63" spans="1:7" x14ac:dyDescent="0.25">
      <c r="A63" s="6" t="s">
        <v>79</v>
      </c>
      <c r="B63" s="7" t="s">
        <v>211</v>
      </c>
      <c r="C63" s="8">
        <v>399016.91</v>
      </c>
      <c r="D63" s="8">
        <v>62042.879999999997</v>
      </c>
      <c r="E63" s="9">
        <v>0.155489350062883</v>
      </c>
      <c r="F63" s="10" t="s">
        <v>17</v>
      </c>
      <c r="G63" s="10" t="s">
        <v>17</v>
      </c>
    </row>
    <row r="64" spans="1:7" x14ac:dyDescent="0.25">
      <c r="A64" s="6" t="s">
        <v>80</v>
      </c>
      <c r="B64" s="7" t="s">
        <v>209</v>
      </c>
      <c r="C64" s="8">
        <v>394990.73</v>
      </c>
      <c r="D64" s="8">
        <v>67929.81</v>
      </c>
      <c r="E64" s="9">
        <v>0.17197823857790301</v>
      </c>
      <c r="F64" s="10" t="s">
        <v>17</v>
      </c>
      <c r="G64" s="10" t="s">
        <v>17</v>
      </c>
    </row>
    <row r="65" spans="1:7" x14ac:dyDescent="0.25">
      <c r="A65" s="6" t="s">
        <v>81</v>
      </c>
      <c r="B65" s="7" t="s">
        <v>212</v>
      </c>
      <c r="C65" s="8">
        <v>391326.56</v>
      </c>
      <c r="D65" s="8">
        <v>75097.649999999994</v>
      </c>
      <c r="E65" s="9">
        <v>0.19190532326760501</v>
      </c>
      <c r="F65" s="10" t="s">
        <v>17</v>
      </c>
      <c r="G65" s="10" t="s">
        <v>17</v>
      </c>
    </row>
    <row r="66" spans="1:7" x14ac:dyDescent="0.25">
      <c r="A66" s="6" t="s">
        <v>82</v>
      </c>
      <c r="B66" s="7" t="s">
        <v>210</v>
      </c>
      <c r="C66" s="8">
        <v>370991.90100000001</v>
      </c>
      <c r="D66" s="8">
        <v>71437.210000000006</v>
      </c>
      <c r="E66" s="9">
        <v>0.192557330247487</v>
      </c>
      <c r="F66" s="10" t="s">
        <v>17</v>
      </c>
      <c r="G66" s="10" t="s">
        <v>17</v>
      </c>
    </row>
    <row r="67" spans="1:7" x14ac:dyDescent="0.25">
      <c r="A67" s="6" t="s">
        <v>83</v>
      </c>
      <c r="B67" s="7" t="s">
        <v>218</v>
      </c>
      <c r="C67" s="8">
        <v>363496.38</v>
      </c>
      <c r="D67" s="8">
        <v>53976.480000000003</v>
      </c>
      <c r="E67" s="9">
        <v>0.14849248292376399</v>
      </c>
      <c r="F67" s="10" t="s">
        <v>17</v>
      </c>
      <c r="G67" s="10" t="s">
        <v>17</v>
      </c>
    </row>
    <row r="68" spans="1:7" x14ac:dyDescent="0.25">
      <c r="A68" s="6" t="s">
        <v>84</v>
      </c>
      <c r="B68" s="7" t="s">
        <v>220</v>
      </c>
      <c r="C68" s="8">
        <v>354985.34</v>
      </c>
      <c r="D68" s="8">
        <v>64354.9</v>
      </c>
      <c r="E68" s="9">
        <v>0.18128889491605499</v>
      </c>
      <c r="F68" s="10" t="s">
        <v>17</v>
      </c>
      <c r="G68" s="10" t="s">
        <v>17</v>
      </c>
    </row>
    <row r="69" spans="1:7" x14ac:dyDescent="0.25">
      <c r="A69" s="6" t="s">
        <v>85</v>
      </c>
      <c r="B69" s="7" t="s">
        <v>222</v>
      </c>
      <c r="C69" s="8">
        <v>347355.5</v>
      </c>
      <c r="D69" s="8">
        <v>41438.160000000003</v>
      </c>
      <c r="E69" s="9">
        <v>0.119296110181068</v>
      </c>
      <c r="F69" s="10" t="s">
        <v>17</v>
      </c>
      <c r="G69" s="10" t="s">
        <v>17</v>
      </c>
    </row>
    <row r="70" spans="1:7" x14ac:dyDescent="0.25">
      <c r="A70" s="6" t="s">
        <v>86</v>
      </c>
      <c r="B70" s="7" t="s">
        <v>217</v>
      </c>
      <c r="C70" s="8">
        <v>337887.38</v>
      </c>
      <c r="D70" s="8">
        <v>51920.800000000003</v>
      </c>
      <c r="E70" s="9">
        <v>0.15366303411509499</v>
      </c>
      <c r="F70" s="10" t="s">
        <v>15</v>
      </c>
      <c r="G70" s="11">
        <f>(D70 / F70)</f>
        <v>51.9208</v>
      </c>
    </row>
    <row r="71" spans="1:7" x14ac:dyDescent="0.25">
      <c r="A71" s="6" t="s">
        <v>87</v>
      </c>
      <c r="B71" s="7" t="s">
        <v>216</v>
      </c>
      <c r="C71" s="8">
        <v>316319.90000000002</v>
      </c>
      <c r="D71" s="8">
        <v>167966.4</v>
      </c>
      <c r="E71" s="9">
        <v>0.531001685319198</v>
      </c>
      <c r="F71" s="10" t="s">
        <v>17</v>
      </c>
      <c r="G71" s="10" t="s">
        <v>17</v>
      </c>
    </row>
    <row r="72" spans="1:7" x14ac:dyDescent="0.25">
      <c r="A72" s="6" t="s">
        <v>88</v>
      </c>
      <c r="B72" s="7" t="s">
        <v>226</v>
      </c>
      <c r="C72" s="8">
        <v>315301.65000000002</v>
      </c>
      <c r="D72" s="8">
        <v>20571.72</v>
      </c>
      <c r="E72" s="9">
        <v>6.5244568177806897E-2</v>
      </c>
      <c r="F72" s="10" t="s">
        <v>17</v>
      </c>
      <c r="G72" s="10" t="s">
        <v>17</v>
      </c>
    </row>
    <row r="73" spans="1:7" x14ac:dyDescent="0.25">
      <c r="A73" s="6" t="s">
        <v>89</v>
      </c>
      <c r="B73" s="7" t="s">
        <v>227</v>
      </c>
      <c r="C73" s="8">
        <v>313626.37</v>
      </c>
      <c r="D73" s="8">
        <v>27703.24</v>
      </c>
      <c r="E73" s="9">
        <v>8.8331985604399296E-2</v>
      </c>
      <c r="F73" s="10" t="s">
        <v>17</v>
      </c>
      <c r="G73" s="10" t="s">
        <v>17</v>
      </c>
    </row>
    <row r="74" spans="1:7" x14ac:dyDescent="0.25">
      <c r="A74" s="6" t="s">
        <v>90</v>
      </c>
      <c r="B74" s="7" t="s">
        <v>303</v>
      </c>
      <c r="C74" s="8">
        <v>305261.84000000003</v>
      </c>
      <c r="D74" s="8">
        <v>17912.61</v>
      </c>
      <c r="E74" s="9">
        <v>5.8679492988707699E-2</v>
      </c>
      <c r="F74" s="10" t="s">
        <v>17</v>
      </c>
      <c r="G74" s="10" t="s">
        <v>17</v>
      </c>
    </row>
    <row r="75" spans="1:7" x14ac:dyDescent="0.25">
      <c r="A75" s="6" t="s">
        <v>91</v>
      </c>
      <c r="B75" s="7" t="s">
        <v>224</v>
      </c>
      <c r="C75" s="8">
        <v>299372.07</v>
      </c>
      <c r="D75" s="8">
        <v>59564.52</v>
      </c>
      <c r="E75" s="9">
        <v>0.198964853334514</v>
      </c>
      <c r="F75" s="10" t="s">
        <v>17</v>
      </c>
      <c r="G75" s="10" t="s">
        <v>17</v>
      </c>
    </row>
    <row r="76" spans="1:7" x14ac:dyDescent="0.25">
      <c r="A76" s="6" t="s">
        <v>92</v>
      </c>
      <c r="B76" s="7" t="s">
        <v>228</v>
      </c>
      <c r="C76" s="8">
        <v>288321.09000000003</v>
      </c>
      <c r="D76" s="8">
        <v>14602.12</v>
      </c>
      <c r="E76" s="9">
        <v>5.06453412755897E-2</v>
      </c>
      <c r="F76" s="10" t="s">
        <v>17</v>
      </c>
      <c r="G76" s="10" t="s">
        <v>17</v>
      </c>
    </row>
    <row r="77" spans="1:7" x14ac:dyDescent="0.25">
      <c r="A77" s="6" t="s">
        <v>93</v>
      </c>
      <c r="B77" s="7" t="s">
        <v>229</v>
      </c>
      <c r="C77" s="8">
        <v>282869.19</v>
      </c>
      <c r="D77" s="8">
        <v>28413.94</v>
      </c>
      <c r="E77" s="9">
        <v>0.100449045016179</v>
      </c>
      <c r="F77" s="10" t="s">
        <v>17</v>
      </c>
      <c r="G77" s="10" t="s">
        <v>17</v>
      </c>
    </row>
    <row r="78" spans="1:7" x14ac:dyDescent="0.25">
      <c r="A78" s="6" t="s">
        <v>94</v>
      </c>
      <c r="B78" s="7" t="s">
        <v>254</v>
      </c>
      <c r="C78" s="8">
        <v>277724.40999999997</v>
      </c>
      <c r="D78" s="8">
        <v>42360.81</v>
      </c>
      <c r="E78" s="9">
        <v>0.15252822033180299</v>
      </c>
      <c r="F78" s="10" t="s">
        <v>17</v>
      </c>
      <c r="G78" s="10" t="s">
        <v>17</v>
      </c>
    </row>
    <row r="79" spans="1:7" x14ac:dyDescent="0.25">
      <c r="A79" s="6" t="s">
        <v>95</v>
      </c>
      <c r="B79" s="7" t="s">
        <v>232</v>
      </c>
      <c r="C79" s="8">
        <v>272134.15999999997</v>
      </c>
      <c r="D79" s="8">
        <v>13062.85</v>
      </c>
      <c r="E79" s="9">
        <v>4.80015077857186E-2</v>
      </c>
      <c r="F79" s="10" t="s">
        <v>17</v>
      </c>
      <c r="G79" s="10" t="s">
        <v>17</v>
      </c>
    </row>
    <row r="80" spans="1:7" x14ac:dyDescent="0.25">
      <c r="A80" s="6" t="s">
        <v>96</v>
      </c>
      <c r="B80" s="7" t="s">
        <v>231</v>
      </c>
      <c r="C80" s="8">
        <v>268799.86</v>
      </c>
      <c r="D80" s="8">
        <v>22640.57</v>
      </c>
      <c r="E80" s="9">
        <v>8.4228354880839601E-2</v>
      </c>
      <c r="F80" s="10" t="s">
        <v>17</v>
      </c>
      <c r="G80" s="10" t="s">
        <v>17</v>
      </c>
    </row>
    <row r="81" spans="1:7" x14ac:dyDescent="0.25">
      <c r="A81" s="6" t="s">
        <v>97</v>
      </c>
      <c r="B81" s="7" t="s">
        <v>234</v>
      </c>
      <c r="C81" s="8">
        <v>259592.5</v>
      </c>
      <c r="D81" s="8">
        <v>25480.73</v>
      </c>
      <c r="E81" s="9">
        <v>9.8156649363906903E-2</v>
      </c>
      <c r="F81" s="10" t="s">
        <v>17</v>
      </c>
      <c r="G81" s="10" t="s">
        <v>17</v>
      </c>
    </row>
    <row r="82" spans="1:7" x14ac:dyDescent="0.25">
      <c r="A82" s="6" t="s">
        <v>98</v>
      </c>
      <c r="B82" s="7" t="s">
        <v>233</v>
      </c>
      <c r="C82" s="8">
        <v>251862.32</v>
      </c>
      <c r="D82" s="8">
        <v>47218.33</v>
      </c>
      <c r="E82" s="9">
        <v>0.18747675317213</v>
      </c>
      <c r="F82" s="10" t="s">
        <v>17</v>
      </c>
      <c r="G82" s="10" t="s">
        <v>17</v>
      </c>
    </row>
    <row r="83" spans="1:7" x14ac:dyDescent="0.25">
      <c r="A83" s="12" t="s">
        <v>99</v>
      </c>
      <c r="B83" s="13" t="s">
        <v>225</v>
      </c>
      <c r="C83" s="14">
        <v>244675.07</v>
      </c>
      <c r="D83" s="14">
        <v>47255.81</v>
      </c>
      <c r="E83" s="15">
        <v>0.19313700410916401</v>
      </c>
      <c r="F83" s="16" t="s">
        <v>12</v>
      </c>
      <c r="G83" s="17">
        <f>(D83 / F83)</f>
        <v>10.50129111111111</v>
      </c>
    </row>
    <row r="84" spans="1:7" x14ac:dyDescent="0.25">
      <c r="A84" s="6" t="s">
        <v>100</v>
      </c>
      <c r="B84" s="7" t="s">
        <v>235</v>
      </c>
      <c r="C84" s="8">
        <v>232995.42</v>
      </c>
      <c r="D84" s="8">
        <v>25437.62</v>
      </c>
      <c r="E84" s="9">
        <v>0.109176480808078</v>
      </c>
      <c r="F84" s="10" t="s">
        <v>17</v>
      </c>
      <c r="G84" s="10" t="s">
        <v>17</v>
      </c>
    </row>
    <row r="85" spans="1:7" x14ac:dyDescent="0.25">
      <c r="A85" s="6" t="s">
        <v>101</v>
      </c>
      <c r="B85" s="7" t="s">
        <v>236</v>
      </c>
      <c r="C85" s="8">
        <v>223426.32</v>
      </c>
      <c r="D85" s="8">
        <v>73874.649999999994</v>
      </c>
      <c r="E85" s="9">
        <v>0.33064434843665702</v>
      </c>
      <c r="F85" s="10" t="s">
        <v>17</v>
      </c>
      <c r="G85" s="10" t="s">
        <v>17</v>
      </c>
    </row>
    <row r="86" spans="1:7" x14ac:dyDescent="0.25">
      <c r="A86" s="6" t="s">
        <v>102</v>
      </c>
      <c r="B86" s="7" t="s">
        <v>305</v>
      </c>
      <c r="C86" s="8">
        <v>214183.44</v>
      </c>
      <c r="D86" s="8">
        <v>165020.35</v>
      </c>
      <c r="E86" s="9">
        <v>0.77046269310083004</v>
      </c>
      <c r="F86" s="10" t="s">
        <v>17</v>
      </c>
      <c r="G86" s="10" t="s">
        <v>17</v>
      </c>
    </row>
    <row r="87" spans="1:7" x14ac:dyDescent="0.25">
      <c r="A87" s="12" t="s">
        <v>103</v>
      </c>
      <c r="B87" s="13" t="s">
        <v>230</v>
      </c>
      <c r="C87" s="14">
        <v>202888.36</v>
      </c>
      <c r="D87" s="14">
        <v>47483.73</v>
      </c>
      <c r="E87" s="15">
        <v>0.23403870976136801</v>
      </c>
      <c r="F87" s="16" t="s">
        <v>292</v>
      </c>
      <c r="G87" s="17">
        <f>(D87 / F87)</f>
        <v>12.833440540540542</v>
      </c>
    </row>
    <row r="88" spans="1:7" x14ac:dyDescent="0.25">
      <c r="A88" s="6" t="s">
        <v>104</v>
      </c>
      <c r="B88" s="7" t="s">
        <v>238</v>
      </c>
      <c r="C88" s="8">
        <v>195232.93</v>
      </c>
      <c r="D88" s="8">
        <v>12274.85</v>
      </c>
      <c r="E88" s="9">
        <v>6.2872846296984794E-2</v>
      </c>
      <c r="F88" s="10" t="s">
        <v>17</v>
      </c>
      <c r="G88" s="10" t="s">
        <v>17</v>
      </c>
    </row>
    <row r="89" spans="1:7" x14ac:dyDescent="0.25">
      <c r="A89" s="6" t="s">
        <v>105</v>
      </c>
      <c r="B89" s="7" t="s">
        <v>239</v>
      </c>
      <c r="C89" s="8">
        <v>187368.63</v>
      </c>
      <c r="D89" s="8">
        <v>160255.70000000001</v>
      </c>
      <c r="E89" s="9">
        <v>0.85529632148134904</v>
      </c>
      <c r="F89" s="10" t="s">
        <v>17</v>
      </c>
      <c r="G89" s="10" t="s">
        <v>17</v>
      </c>
    </row>
    <row r="90" spans="1:7" x14ac:dyDescent="0.25">
      <c r="A90" s="6" t="s">
        <v>106</v>
      </c>
      <c r="B90" s="7" t="s">
        <v>275</v>
      </c>
      <c r="C90" s="8">
        <v>182191.51</v>
      </c>
      <c r="D90" s="8">
        <v>20125.830000000002</v>
      </c>
      <c r="E90" s="9">
        <v>0.11046524615773801</v>
      </c>
      <c r="F90" s="10" t="s">
        <v>17</v>
      </c>
      <c r="G90" s="10" t="s">
        <v>17</v>
      </c>
    </row>
    <row r="91" spans="1:7" x14ac:dyDescent="0.25">
      <c r="A91" s="6" t="s">
        <v>107</v>
      </c>
      <c r="B91" s="7" t="s">
        <v>240</v>
      </c>
      <c r="C91" s="8">
        <v>157236.51</v>
      </c>
      <c r="D91" s="8">
        <v>12106.18</v>
      </c>
      <c r="E91" s="9">
        <v>7.6993441281544603E-2</v>
      </c>
      <c r="F91" s="10" t="s">
        <v>17</v>
      </c>
      <c r="G91" s="10" t="s">
        <v>17</v>
      </c>
    </row>
    <row r="92" spans="1:7" x14ac:dyDescent="0.25">
      <c r="A92" s="6" t="s">
        <v>108</v>
      </c>
      <c r="B92" s="7" t="s">
        <v>276</v>
      </c>
      <c r="C92" s="8">
        <v>151809.59</v>
      </c>
      <c r="D92" s="8">
        <v>19500.740000000002</v>
      </c>
      <c r="E92" s="9">
        <v>0.12845525766850399</v>
      </c>
      <c r="F92" s="10" t="s">
        <v>17</v>
      </c>
      <c r="G92" s="10" t="s">
        <v>17</v>
      </c>
    </row>
    <row r="93" spans="1:7" x14ac:dyDescent="0.25">
      <c r="A93" s="6" t="s">
        <v>109</v>
      </c>
      <c r="B93" s="7" t="s">
        <v>307</v>
      </c>
      <c r="C93" s="8">
        <v>150785.95000000001</v>
      </c>
      <c r="D93" s="8">
        <v>108829.03</v>
      </c>
      <c r="E93" s="9">
        <v>0.72174516259638299</v>
      </c>
      <c r="F93" s="10" t="s">
        <v>17</v>
      </c>
      <c r="G93" s="10" t="s">
        <v>17</v>
      </c>
    </row>
    <row r="94" spans="1:7" x14ac:dyDescent="0.25">
      <c r="A94" s="6" t="s">
        <v>110</v>
      </c>
      <c r="B94" s="7" t="s">
        <v>243</v>
      </c>
      <c r="C94" s="8">
        <v>147801.09</v>
      </c>
      <c r="D94" s="8">
        <v>11042.98</v>
      </c>
      <c r="E94" s="9">
        <v>7.4715145876123101E-2</v>
      </c>
      <c r="F94" s="10" t="s">
        <v>17</v>
      </c>
      <c r="G94" s="10" t="s">
        <v>17</v>
      </c>
    </row>
    <row r="95" spans="1:7" x14ac:dyDescent="0.25">
      <c r="A95" s="6" t="s">
        <v>111</v>
      </c>
      <c r="B95" s="7" t="s">
        <v>241</v>
      </c>
      <c r="C95" s="8">
        <v>142076.07</v>
      </c>
      <c r="D95" s="8">
        <v>18948.39</v>
      </c>
      <c r="E95" s="9">
        <v>0.13336792043867801</v>
      </c>
      <c r="F95" s="10" t="s">
        <v>16</v>
      </c>
      <c r="G95" s="11">
        <f>(D95 / F95)</f>
        <v>52.928463687150838</v>
      </c>
    </row>
    <row r="96" spans="1:7" x14ac:dyDescent="0.25">
      <c r="A96" s="6" t="s">
        <v>112</v>
      </c>
      <c r="B96" s="7" t="s">
        <v>244</v>
      </c>
      <c r="C96" s="8">
        <v>138850.54</v>
      </c>
      <c r="D96" s="8">
        <v>6017.35</v>
      </c>
      <c r="E96" s="9">
        <v>4.3336885834221503E-2</v>
      </c>
      <c r="F96" s="10" t="s">
        <v>17</v>
      </c>
      <c r="G96" s="10" t="s">
        <v>17</v>
      </c>
    </row>
    <row r="97" spans="1:7" x14ac:dyDescent="0.25">
      <c r="A97" s="6" t="s">
        <v>113</v>
      </c>
      <c r="B97" s="7" t="s">
        <v>320</v>
      </c>
      <c r="C97" s="8">
        <v>134463.62</v>
      </c>
      <c r="D97" s="8">
        <v>134463.62</v>
      </c>
      <c r="E97" s="9">
        <v>1</v>
      </c>
      <c r="F97" s="10" t="s">
        <v>17</v>
      </c>
      <c r="G97" s="10" t="s">
        <v>17</v>
      </c>
    </row>
    <row r="98" spans="1:7" x14ac:dyDescent="0.25">
      <c r="A98" s="6" t="s">
        <v>114</v>
      </c>
      <c r="B98" s="7" t="s">
        <v>242</v>
      </c>
      <c r="C98" s="8">
        <v>132154.65</v>
      </c>
      <c r="D98" s="8">
        <v>48130.58</v>
      </c>
      <c r="E98" s="9">
        <v>0.36419891392395198</v>
      </c>
      <c r="F98" s="10" t="s">
        <v>17</v>
      </c>
      <c r="G98" s="10" t="s">
        <v>17</v>
      </c>
    </row>
    <row r="99" spans="1:7" x14ac:dyDescent="0.25">
      <c r="A99" s="6" t="s">
        <v>115</v>
      </c>
      <c r="B99" s="7" t="s">
        <v>246</v>
      </c>
      <c r="C99" s="8">
        <v>130758.16</v>
      </c>
      <c r="D99" s="8">
        <v>9523.59</v>
      </c>
      <c r="E99" s="9">
        <v>7.2833618949670095E-2</v>
      </c>
      <c r="F99" s="10" t="s">
        <v>17</v>
      </c>
      <c r="G99" s="10" t="s">
        <v>17</v>
      </c>
    </row>
    <row r="100" spans="1:7" x14ac:dyDescent="0.25">
      <c r="A100" s="6" t="s">
        <v>116</v>
      </c>
      <c r="B100" s="7" t="s">
        <v>245</v>
      </c>
      <c r="C100" s="8">
        <v>123502.68</v>
      </c>
      <c r="D100" s="8">
        <v>8408.4500000000007</v>
      </c>
      <c r="E100" s="9">
        <v>6.8083137952957798E-2</v>
      </c>
      <c r="F100" s="10" t="s">
        <v>17</v>
      </c>
      <c r="G100" s="10" t="s">
        <v>17</v>
      </c>
    </row>
    <row r="101" spans="1:7" x14ac:dyDescent="0.25">
      <c r="A101" s="6" t="s">
        <v>117</v>
      </c>
      <c r="B101" s="7" t="s">
        <v>306</v>
      </c>
      <c r="C101" s="8">
        <v>123346.08</v>
      </c>
      <c r="D101" s="8">
        <v>12053.78</v>
      </c>
      <c r="E101" s="9">
        <v>9.7723251521248194E-2</v>
      </c>
      <c r="F101" s="10" t="s">
        <v>17</v>
      </c>
      <c r="G101" s="10" t="s">
        <v>17</v>
      </c>
    </row>
    <row r="102" spans="1:7" x14ac:dyDescent="0.25">
      <c r="A102" s="6" t="s">
        <v>118</v>
      </c>
      <c r="B102" s="7" t="s">
        <v>247</v>
      </c>
      <c r="C102" s="8">
        <v>123090.6</v>
      </c>
      <c r="D102" s="8">
        <v>20512.46</v>
      </c>
      <c r="E102" s="9">
        <v>0.16664521905003299</v>
      </c>
      <c r="F102" s="10" t="s">
        <v>17</v>
      </c>
      <c r="G102" s="10" t="s">
        <v>17</v>
      </c>
    </row>
    <row r="103" spans="1:7" x14ac:dyDescent="0.25">
      <c r="A103" s="6" t="s">
        <v>119</v>
      </c>
      <c r="B103" s="7" t="s">
        <v>295</v>
      </c>
      <c r="C103" s="8">
        <v>109250.9</v>
      </c>
      <c r="D103" s="8">
        <v>6660.05</v>
      </c>
      <c r="E103" s="9">
        <v>6.0961053867748499E-2</v>
      </c>
      <c r="F103" s="10" t="s">
        <v>17</v>
      </c>
      <c r="G103" s="10" t="s">
        <v>17</v>
      </c>
    </row>
    <row r="104" spans="1:7" x14ac:dyDescent="0.25">
      <c r="A104" s="6" t="s">
        <v>120</v>
      </c>
      <c r="B104" s="7" t="s">
        <v>248</v>
      </c>
      <c r="C104" s="8">
        <v>106522.58</v>
      </c>
      <c r="D104" s="8">
        <v>4190.75</v>
      </c>
      <c r="E104" s="9">
        <v>3.9341424137492698E-2</v>
      </c>
      <c r="F104" s="10" t="s">
        <v>17</v>
      </c>
      <c r="G104" s="10" t="s">
        <v>17</v>
      </c>
    </row>
    <row r="105" spans="1:7" x14ac:dyDescent="0.25">
      <c r="A105" s="6" t="s">
        <v>121</v>
      </c>
      <c r="B105" s="7" t="s">
        <v>249</v>
      </c>
      <c r="C105" s="8">
        <v>99462.12</v>
      </c>
      <c r="D105" s="8">
        <v>13375.85</v>
      </c>
      <c r="E105" s="9">
        <v>0.134481850980052</v>
      </c>
      <c r="F105" s="10" t="s">
        <v>17</v>
      </c>
      <c r="G105" s="10" t="s">
        <v>17</v>
      </c>
    </row>
    <row r="106" spans="1:7" x14ac:dyDescent="0.25">
      <c r="A106" s="6" t="s">
        <v>122</v>
      </c>
      <c r="B106" s="7" t="s">
        <v>309</v>
      </c>
      <c r="C106" s="8">
        <v>94606.23</v>
      </c>
      <c r="D106" s="8">
        <v>12415.46</v>
      </c>
      <c r="E106" s="9">
        <v>0.131233006536673</v>
      </c>
      <c r="F106" s="10" t="s">
        <v>17</v>
      </c>
      <c r="G106" s="10" t="s">
        <v>17</v>
      </c>
    </row>
    <row r="107" spans="1:7" x14ac:dyDescent="0.25">
      <c r="A107" s="6" t="s">
        <v>123</v>
      </c>
      <c r="B107" s="7" t="s">
        <v>317</v>
      </c>
      <c r="C107" s="8">
        <v>86076.26</v>
      </c>
      <c r="D107" s="8">
        <v>596.53</v>
      </c>
      <c r="E107" s="9">
        <v>6.9302499899507701E-3</v>
      </c>
      <c r="F107" s="10" t="s">
        <v>17</v>
      </c>
      <c r="G107" s="10" t="s">
        <v>17</v>
      </c>
    </row>
    <row r="108" spans="1:7" x14ac:dyDescent="0.25">
      <c r="A108" s="6" t="s">
        <v>124</v>
      </c>
      <c r="B108" s="7" t="s">
        <v>253</v>
      </c>
      <c r="C108" s="8">
        <v>81011.8</v>
      </c>
      <c r="D108" s="8">
        <v>6066.44</v>
      </c>
      <c r="E108" s="9">
        <v>7.4883412046146403E-2</v>
      </c>
      <c r="F108" s="10" t="s">
        <v>17</v>
      </c>
      <c r="G108" s="10" t="s">
        <v>17</v>
      </c>
    </row>
    <row r="109" spans="1:7" x14ac:dyDescent="0.25">
      <c r="A109" s="6" t="s">
        <v>125</v>
      </c>
      <c r="B109" s="7" t="s">
        <v>230</v>
      </c>
      <c r="C109" s="8">
        <v>72131.06</v>
      </c>
      <c r="D109" s="8">
        <v>8533.36</v>
      </c>
      <c r="E109" s="9">
        <v>0.118303543577482</v>
      </c>
      <c r="F109" s="10" t="s">
        <v>17</v>
      </c>
      <c r="G109" s="10" t="s">
        <v>17</v>
      </c>
    </row>
    <row r="110" spans="1:7" x14ac:dyDescent="0.25">
      <c r="A110" s="6" t="s">
        <v>126</v>
      </c>
      <c r="B110" s="7" t="s">
        <v>321</v>
      </c>
      <c r="C110" s="8">
        <v>70765.87</v>
      </c>
      <c r="D110" s="8">
        <v>44147.01</v>
      </c>
      <c r="E110" s="9">
        <v>0.62384607155963701</v>
      </c>
      <c r="F110" s="10" t="s">
        <v>17</v>
      </c>
      <c r="G110" s="10" t="s">
        <v>17</v>
      </c>
    </row>
    <row r="111" spans="1:7" x14ac:dyDescent="0.25">
      <c r="A111" s="6" t="s">
        <v>127</v>
      </c>
      <c r="B111" s="7" t="s">
        <v>256</v>
      </c>
      <c r="C111" s="8">
        <v>69563.61</v>
      </c>
      <c r="D111" s="8">
        <v>4746.34</v>
      </c>
      <c r="E111" s="9">
        <v>6.82302140443833E-2</v>
      </c>
      <c r="F111" s="10" t="s">
        <v>17</v>
      </c>
      <c r="G111" s="10" t="s">
        <v>17</v>
      </c>
    </row>
    <row r="112" spans="1:7" x14ac:dyDescent="0.25">
      <c r="A112" s="6" t="s">
        <v>128</v>
      </c>
      <c r="B112" s="7" t="s">
        <v>255</v>
      </c>
      <c r="C112" s="8">
        <v>68427.83</v>
      </c>
      <c r="D112" s="8">
        <v>522.25</v>
      </c>
      <c r="E112" s="9">
        <v>7.6321286236900997E-3</v>
      </c>
      <c r="F112" s="10" t="s">
        <v>17</v>
      </c>
      <c r="G112" s="10" t="s">
        <v>17</v>
      </c>
    </row>
    <row r="113" spans="1:7" x14ac:dyDescent="0.25">
      <c r="A113" s="6" t="s">
        <v>129</v>
      </c>
      <c r="B113" s="7" t="s">
        <v>258</v>
      </c>
      <c r="C113" s="8">
        <v>63990.49</v>
      </c>
      <c r="D113" s="8">
        <v>4350.59</v>
      </c>
      <c r="E113" s="9">
        <v>6.7988071352477503E-2</v>
      </c>
      <c r="F113" s="10" t="s">
        <v>17</v>
      </c>
      <c r="G113" s="10" t="s">
        <v>17</v>
      </c>
    </row>
    <row r="114" spans="1:7" x14ac:dyDescent="0.25">
      <c r="A114" s="6" t="s">
        <v>130</v>
      </c>
      <c r="B114" s="7" t="s">
        <v>257</v>
      </c>
      <c r="C114" s="8">
        <v>53406.14</v>
      </c>
      <c r="D114" s="8">
        <v>1632.8</v>
      </c>
      <c r="E114" s="9">
        <v>3.0573263673427799E-2</v>
      </c>
      <c r="F114" s="10" t="s">
        <v>17</v>
      </c>
      <c r="G114" s="10" t="s">
        <v>17</v>
      </c>
    </row>
    <row r="115" spans="1:7" x14ac:dyDescent="0.25">
      <c r="A115" s="6" t="s">
        <v>131</v>
      </c>
      <c r="B115" s="7" t="s">
        <v>259</v>
      </c>
      <c r="C115" s="8">
        <v>52084.56</v>
      </c>
      <c r="D115" s="8">
        <v>3779.41</v>
      </c>
      <c r="E115" s="9">
        <v>7.2562962997095498E-2</v>
      </c>
      <c r="F115" s="10" t="s">
        <v>17</v>
      </c>
      <c r="G115" s="10" t="s">
        <v>17</v>
      </c>
    </row>
    <row r="116" spans="1:7" x14ac:dyDescent="0.25">
      <c r="A116" s="6" t="s">
        <v>132</v>
      </c>
      <c r="B116" s="7" t="s">
        <v>262</v>
      </c>
      <c r="C116" s="8">
        <v>48832.93</v>
      </c>
      <c r="D116" s="8">
        <v>6356.93</v>
      </c>
      <c r="E116" s="9">
        <v>0.130177116138638</v>
      </c>
      <c r="F116" s="10" t="s">
        <v>17</v>
      </c>
      <c r="G116" s="10" t="s">
        <v>17</v>
      </c>
    </row>
    <row r="117" spans="1:7" x14ac:dyDescent="0.25">
      <c r="A117" s="6" t="s">
        <v>133</v>
      </c>
      <c r="B117" s="7" t="s">
        <v>291</v>
      </c>
      <c r="C117" s="8">
        <v>48283.34</v>
      </c>
      <c r="D117" s="8">
        <v>7051.89</v>
      </c>
      <c r="E117" s="9">
        <v>0.14605224079361501</v>
      </c>
      <c r="F117" s="10" t="s">
        <v>17</v>
      </c>
      <c r="G117" s="10" t="s">
        <v>17</v>
      </c>
    </row>
    <row r="118" spans="1:7" x14ac:dyDescent="0.25">
      <c r="A118" s="6" t="s">
        <v>134</v>
      </c>
      <c r="B118" s="7" t="s">
        <v>260</v>
      </c>
      <c r="C118" s="8">
        <v>40343.89</v>
      </c>
      <c r="D118" s="8">
        <v>374.28</v>
      </c>
      <c r="E118" s="9">
        <v>9.2772412377686003E-3</v>
      </c>
      <c r="F118" s="10" t="s">
        <v>17</v>
      </c>
      <c r="G118" s="10" t="s">
        <v>17</v>
      </c>
    </row>
    <row r="119" spans="1:7" x14ac:dyDescent="0.25">
      <c r="A119" s="6" t="s">
        <v>135</v>
      </c>
      <c r="B119" s="7" t="s">
        <v>310</v>
      </c>
      <c r="C119" s="8">
        <v>40012.42</v>
      </c>
      <c r="D119" s="8">
        <v>8069.62</v>
      </c>
      <c r="E119" s="9">
        <v>0.20167787901856499</v>
      </c>
      <c r="F119" s="10" t="s">
        <v>17</v>
      </c>
      <c r="G119" s="10" t="s">
        <v>17</v>
      </c>
    </row>
    <row r="120" spans="1:7" x14ac:dyDescent="0.25">
      <c r="A120" s="6" t="s">
        <v>136</v>
      </c>
      <c r="B120" s="7" t="s">
        <v>283</v>
      </c>
      <c r="C120" s="8">
        <v>39522.07</v>
      </c>
      <c r="D120" s="8">
        <v>509.96</v>
      </c>
      <c r="E120" s="9">
        <v>1.29031703045918E-2</v>
      </c>
      <c r="F120" s="10" t="s">
        <v>17</v>
      </c>
      <c r="G120" s="10" t="s">
        <v>17</v>
      </c>
    </row>
    <row r="121" spans="1:7" x14ac:dyDescent="0.25">
      <c r="A121" s="6" t="s">
        <v>137</v>
      </c>
      <c r="B121" s="7" t="s">
        <v>263</v>
      </c>
      <c r="C121" s="8">
        <v>35774.46</v>
      </c>
      <c r="D121" s="8">
        <v>1037.97</v>
      </c>
      <c r="E121" s="9">
        <v>2.9014274429299599E-2</v>
      </c>
      <c r="F121" s="10" t="s">
        <v>17</v>
      </c>
      <c r="G121" s="10" t="s">
        <v>17</v>
      </c>
    </row>
    <row r="122" spans="1:7" x14ac:dyDescent="0.25">
      <c r="A122" s="6" t="s">
        <v>138</v>
      </c>
      <c r="B122" s="7" t="s">
        <v>251</v>
      </c>
      <c r="C122" s="8">
        <v>35092.5</v>
      </c>
      <c r="D122" s="8">
        <v>1965.27</v>
      </c>
      <c r="E122" s="9">
        <v>5.6002564650566397E-2</v>
      </c>
      <c r="F122" s="10" t="s">
        <v>17</v>
      </c>
      <c r="G122" s="10" t="s">
        <v>17</v>
      </c>
    </row>
    <row r="123" spans="1:7" x14ac:dyDescent="0.25">
      <c r="A123" s="6" t="s">
        <v>139</v>
      </c>
      <c r="B123" s="7" t="s">
        <v>266</v>
      </c>
      <c r="C123" s="8">
        <v>33720.93</v>
      </c>
      <c r="D123" s="8">
        <v>11665.78</v>
      </c>
      <c r="E123" s="9">
        <v>0.345950719627246</v>
      </c>
      <c r="F123" s="10" t="s">
        <v>17</v>
      </c>
      <c r="G123" s="10" t="s">
        <v>17</v>
      </c>
    </row>
    <row r="124" spans="1:7" x14ac:dyDescent="0.25">
      <c r="A124" s="6" t="s">
        <v>140</v>
      </c>
      <c r="B124" s="7" t="s">
        <v>265</v>
      </c>
      <c r="C124" s="8">
        <v>30886.65</v>
      </c>
      <c r="D124" s="8">
        <v>4948.3900000000003</v>
      </c>
      <c r="E124" s="9">
        <v>0.16021128869592499</v>
      </c>
      <c r="F124" s="10" t="s">
        <v>17</v>
      </c>
      <c r="G124" s="10" t="s">
        <v>17</v>
      </c>
    </row>
    <row r="125" spans="1:7" x14ac:dyDescent="0.25">
      <c r="A125" s="6" t="s">
        <v>141</v>
      </c>
      <c r="B125" s="7" t="s">
        <v>264</v>
      </c>
      <c r="C125" s="8">
        <v>29993.97</v>
      </c>
      <c r="D125" s="8">
        <v>1325.76</v>
      </c>
      <c r="E125" s="9">
        <v>4.4200884377759903E-2</v>
      </c>
      <c r="F125" s="10" t="s">
        <v>17</v>
      </c>
      <c r="G125" s="10" t="s">
        <v>17</v>
      </c>
    </row>
    <row r="126" spans="1:7" x14ac:dyDescent="0.25">
      <c r="A126" s="6" t="s">
        <v>142</v>
      </c>
      <c r="B126" s="7" t="s">
        <v>311</v>
      </c>
      <c r="C126" s="8">
        <v>26929.22</v>
      </c>
      <c r="D126" s="8">
        <v>2404.2800000000002</v>
      </c>
      <c r="E126" s="9">
        <v>8.9281457093818503E-2</v>
      </c>
      <c r="F126" s="10" t="s">
        <v>17</v>
      </c>
      <c r="G126" s="10" t="s">
        <v>17</v>
      </c>
    </row>
    <row r="127" spans="1:7" x14ac:dyDescent="0.25">
      <c r="A127" s="6" t="s">
        <v>143</v>
      </c>
      <c r="B127" s="7" t="s">
        <v>267</v>
      </c>
      <c r="C127" s="8">
        <v>17265.490000000002</v>
      </c>
      <c r="D127" s="8">
        <v>1257.6300000000001</v>
      </c>
      <c r="E127" s="9">
        <v>7.2840678138876999E-2</v>
      </c>
      <c r="F127" s="10" t="s">
        <v>17</v>
      </c>
      <c r="G127" s="10" t="s">
        <v>17</v>
      </c>
    </row>
    <row r="128" spans="1:7" x14ac:dyDescent="0.25">
      <c r="A128" s="6" t="s">
        <v>144</v>
      </c>
      <c r="B128" s="7" t="s">
        <v>268</v>
      </c>
      <c r="C128" s="8">
        <v>16720.77</v>
      </c>
      <c r="D128" s="8">
        <v>889.39</v>
      </c>
      <c r="E128" s="9">
        <v>5.31907322449863E-2</v>
      </c>
      <c r="F128" s="10" t="s">
        <v>17</v>
      </c>
      <c r="G128" s="10" t="s">
        <v>17</v>
      </c>
    </row>
    <row r="129" spans="1:7" x14ac:dyDescent="0.25">
      <c r="A129" s="6" t="s">
        <v>145</v>
      </c>
      <c r="B129" s="7" t="s">
        <v>270</v>
      </c>
      <c r="C129" s="8">
        <v>14374.53</v>
      </c>
      <c r="D129" s="8">
        <v>109.4</v>
      </c>
      <c r="E129" s="9">
        <v>7.6106836188731004E-3</v>
      </c>
      <c r="F129" s="10" t="s">
        <v>17</v>
      </c>
      <c r="G129" s="10" t="s">
        <v>17</v>
      </c>
    </row>
    <row r="130" spans="1:7" x14ac:dyDescent="0.25">
      <c r="A130" s="6" t="s">
        <v>146</v>
      </c>
      <c r="B130" s="7" t="s">
        <v>269</v>
      </c>
      <c r="C130" s="8">
        <v>14168.99</v>
      </c>
      <c r="D130" s="8">
        <v>1507.12</v>
      </c>
      <c r="E130" s="9">
        <v>0.106367496906978</v>
      </c>
      <c r="F130" s="10" t="s">
        <v>17</v>
      </c>
      <c r="G130" s="10" t="s">
        <v>17</v>
      </c>
    </row>
    <row r="131" spans="1:7" x14ac:dyDescent="0.25">
      <c r="A131" s="6" t="s">
        <v>147</v>
      </c>
      <c r="B131" s="7" t="s">
        <v>277</v>
      </c>
      <c r="C131" s="8">
        <v>13012.09</v>
      </c>
      <c r="D131" s="8">
        <v>789.63</v>
      </c>
      <c r="E131" s="9">
        <v>6.0684332801264097E-2</v>
      </c>
      <c r="F131" s="10" t="s">
        <v>17</v>
      </c>
      <c r="G131" s="10" t="s">
        <v>17</v>
      </c>
    </row>
    <row r="132" spans="1:7" x14ac:dyDescent="0.25">
      <c r="A132" s="6" t="s">
        <v>148</v>
      </c>
      <c r="B132" s="7" t="s">
        <v>286</v>
      </c>
      <c r="C132" s="8">
        <v>7537.03</v>
      </c>
      <c r="D132" s="8">
        <v>81.739999999999995</v>
      </c>
      <c r="E132" s="9">
        <v>1.0845120690776099E-2</v>
      </c>
      <c r="F132" s="10" t="s">
        <v>17</v>
      </c>
      <c r="G132" s="10" t="s">
        <v>17</v>
      </c>
    </row>
    <row r="133" spans="1:7" x14ac:dyDescent="0.25">
      <c r="A133" s="6" t="s">
        <v>149</v>
      </c>
      <c r="B133" s="7" t="s">
        <v>322</v>
      </c>
      <c r="C133" s="8">
        <v>3747.53</v>
      </c>
      <c r="D133" s="8">
        <v>37.25</v>
      </c>
      <c r="E133" s="9">
        <v>9.9398804012242707E-3</v>
      </c>
      <c r="F133" s="10" t="s">
        <v>17</v>
      </c>
      <c r="G133" s="10" t="s">
        <v>17</v>
      </c>
    </row>
    <row r="134" spans="1:7" x14ac:dyDescent="0.25">
      <c r="A134" s="6" t="s">
        <v>150</v>
      </c>
      <c r="B134" s="7" t="s">
        <v>312</v>
      </c>
      <c r="C134" s="8">
        <v>2453.0500000000002</v>
      </c>
      <c r="D134" s="8">
        <v>52.68</v>
      </c>
      <c r="E134" s="9">
        <v>2.1475306251401299E-2</v>
      </c>
      <c r="F134" s="10" t="s">
        <v>17</v>
      </c>
      <c r="G134" s="10" t="s">
        <v>17</v>
      </c>
    </row>
    <row r="135" spans="1:7" x14ac:dyDescent="0.25">
      <c r="A135" s="6" t="s">
        <v>151</v>
      </c>
      <c r="B135" s="7" t="s">
        <v>313</v>
      </c>
      <c r="C135" s="8">
        <v>1884.06</v>
      </c>
      <c r="D135" s="8">
        <v>282.60000000000002</v>
      </c>
      <c r="E135" s="9">
        <v>0.149995223082067</v>
      </c>
      <c r="F135" s="10" t="s">
        <v>17</v>
      </c>
      <c r="G135" s="10" t="s">
        <v>17</v>
      </c>
    </row>
    <row r="136" spans="1:7" x14ac:dyDescent="0.25">
      <c r="A136" s="6" t="s">
        <v>152</v>
      </c>
      <c r="B136" s="7" t="s">
        <v>323</v>
      </c>
      <c r="C136" s="8">
        <v>1000.02</v>
      </c>
      <c r="D136" s="8">
        <v>1000.02</v>
      </c>
      <c r="E136" s="9">
        <v>1</v>
      </c>
      <c r="F136" s="10" t="s">
        <v>17</v>
      </c>
      <c r="G136" s="10" t="s">
        <v>17</v>
      </c>
    </row>
    <row r="137" spans="1:7" x14ac:dyDescent="0.25">
      <c r="A137" s="6" t="s">
        <v>153</v>
      </c>
      <c r="B137" s="7" t="s">
        <v>324</v>
      </c>
      <c r="C137" s="8">
        <v>525.55999999999995</v>
      </c>
      <c r="D137" s="8">
        <v>81.819999999999993</v>
      </c>
      <c r="E137" s="9">
        <v>0.15568155871832001</v>
      </c>
      <c r="F137" s="10" t="s">
        <v>17</v>
      </c>
      <c r="G137" s="10" t="s">
        <v>17</v>
      </c>
    </row>
    <row r="138" spans="1:7" x14ac:dyDescent="0.25">
      <c r="A138" s="6" t="s">
        <v>154</v>
      </c>
      <c r="B138" s="7" t="s">
        <v>318</v>
      </c>
      <c r="C138" s="8">
        <v>299.95</v>
      </c>
      <c r="D138" s="8">
        <v>299.95</v>
      </c>
      <c r="E138" s="9">
        <v>1</v>
      </c>
      <c r="F138" s="10" t="s">
        <v>17</v>
      </c>
      <c r="G138" s="10" t="s">
        <v>17</v>
      </c>
    </row>
    <row r="139" spans="1:7" x14ac:dyDescent="0.25">
      <c r="A139" s="6" t="s">
        <v>155</v>
      </c>
      <c r="B139" s="7" t="s">
        <v>319</v>
      </c>
      <c r="C139" s="8">
        <v>0</v>
      </c>
      <c r="D139" s="8">
        <v>0</v>
      </c>
      <c r="E139" s="9">
        <v>0</v>
      </c>
      <c r="F139" s="10" t="s">
        <v>17</v>
      </c>
      <c r="G139" s="10" t="s">
        <v>17</v>
      </c>
    </row>
    <row r="140" spans="1:7" x14ac:dyDescent="0.25">
      <c r="A140" s="6" t="s">
        <v>156</v>
      </c>
      <c r="B140" s="7" t="s">
        <v>297</v>
      </c>
      <c r="C140" s="8">
        <v>0</v>
      </c>
      <c r="D140" s="8">
        <v>0</v>
      </c>
      <c r="E140" s="9">
        <v>0</v>
      </c>
      <c r="F140" s="10" t="s">
        <v>17</v>
      </c>
      <c r="G140" s="10" t="s">
        <v>17</v>
      </c>
    </row>
    <row r="141" spans="1:7" x14ac:dyDescent="0.25">
      <c r="C141" s="8"/>
      <c r="D141" s="8"/>
      <c r="E141" s="9"/>
    </row>
    <row r="142" spans="1:7" x14ac:dyDescent="0.25">
      <c r="C142" s="8"/>
      <c r="D142" s="8"/>
      <c r="E142" s="9"/>
    </row>
    <row r="143" spans="1:7" x14ac:dyDescent="0.25">
      <c r="C143" s="8"/>
      <c r="D143" s="8"/>
      <c r="E143" s="9"/>
    </row>
    <row r="144" spans="1:7" x14ac:dyDescent="0.25">
      <c r="C144" s="8"/>
      <c r="D144" s="8" t="s">
        <v>298</v>
      </c>
      <c r="E144" s="9"/>
    </row>
    <row r="145" spans="1:7" ht="31.5" x14ac:dyDescent="0.25">
      <c r="A145" s="18"/>
      <c r="B145" s="19" t="s">
        <v>157</v>
      </c>
      <c r="C145" s="3" t="s">
        <v>158</v>
      </c>
      <c r="D145" s="3" t="s">
        <v>159</v>
      </c>
      <c r="E145" s="4" t="s">
        <v>160</v>
      </c>
      <c r="F145" s="5" t="s">
        <v>161</v>
      </c>
      <c r="G145" s="5" t="s">
        <v>162</v>
      </c>
    </row>
    <row r="146" spans="1:7" x14ac:dyDescent="0.25">
      <c r="A146" s="6" t="s">
        <v>18</v>
      </c>
      <c r="B146" s="7" t="s">
        <v>315</v>
      </c>
      <c r="C146" s="8">
        <v>3000329.6</v>
      </c>
      <c r="D146" s="8">
        <v>3000329.6</v>
      </c>
      <c r="E146" s="9">
        <v>1</v>
      </c>
      <c r="F146" s="10" t="s">
        <v>17</v>
      </c>
      <c r="G146" s="10" t="s">
        <v>17</v>
      </c>
    </row>
    <row r="147" spans="1:7" x14ac:dyDescent="0.25">
      <c r="A147" s="6" t="s">
        <v>19</v>
      </c>
      <c r="B147" s="7" t="s">
        <v>183</v>
      </c>
      <c r="C147" s="8">
        <v>1254395</v>
      </c>
      <c r="D147" s="8">
        <v>202617.42</v>
      </c>
      <c r="E147" s="9">
        <v>0.16152601054691701</v>
      </c>
      <c r="F147" s="10" t="s">
        <v>17</v>
      </c>
      <c r="G147" s="10" t="s">
        <v>17</v>
      </c>
    </row>
    <row r="148" spans="1:7" x14ac:dyDescent="0.25">
      <c r="A148" s="6" t="s">
        <v>20</v>
      </c>
      <c r="B148" s="7" t="s">
        <v>165</v>
      </c>
      <c r="C148" s="8">
        <v>1126862.7</v>
      </c>
      <c r="D148" s="8">
        <v>1117478.24</v>
      </c>
      <c r="E148" s="9">
        <v>0.991672046647742</v>
      </c>
      <c r="F148" s="10" t="s">
        <v>17</v>
      </c>
      <c r="G148" s="10" t="s">
        <v>17</v>
      </c>
    </row>
    <row r="149" spans="1:7" x14ac:dyDescent="0.25">
      <c r="A149" s="6" t="s">
        <v>21</v>
      </c>
      <c r="B149" s="7" t="s">
        <v>244</v>
      </c>
      <c r="C149" s="8">
        <v>910633.54</v>
      </c>
      <c r="D149" s="8">
        <v>751.15</v>
      </c>
      <c r="E149" s="9">
        <v>8.2486529103683096E-4</v>
      </c>
      <c r="F149" s="10" t="s">
        <v>17</v>
      </c>
      <c r="G149" s="10" t="s">
        <v>17</v>
      </c>
    </row>
    <row r="150" spans="1:7" x14ac:dyDescent="0.25">
      <c r="A150" s="6" t="s">
        <v>22</v>
      </c>
      <c r="B150" s="7" t="s">
        <v>278</v>
      </c>
      <c r="C150" s="8">
        <v>719857.94</v>
      </c>
      <c r="D150" s="8">
        <v>291853.13</v>
      </c>
      <c r="E150" s="9">
        <v>0.40543156334428998</v>
      </c>
      <c r="F150" s="10" t="s">
        <v>17</v>
      </c>
      <c r="G150" s="10" t="s">
        <v>17</v>
      </c>
    </row>
    <row r="151" spans="1:7" x14ac:dyDescent="0.25">
      <c r="A151" s="6" t="s">
        <v>23</v>
      </c>
      <c r="B151" s="7" t="s">
        <v>325</v>
      </c>
      <c r="C151" s="8">
        <v>589922</v>
      </c>
      <c r="D151" s="8">
        <v>589922</v>
      </c>
      <c r="E151" s="9">
        <v>1</v>
      </c>
      <c r="F151" s="10" t="s">
        <v>17</v>
      </c>
      <c r="G151" s="10" t="s">
        <v>17</v>
      </c>
    </row>
    <row r="152" spans="1:7" x14ac:dyDescent="0.25">
      <c r="A152" s="6" t="s">
        <v>24</v>
      </c>
      <c r="B152" s="7" t="s">
        <v>182</v>
      </c>
      <c r="C152" s="8">
        <v>516673.13</v>
      </c>
      <c r="D152" s="8">
        <v>516673.13</v>
      </c>
      <c r="E152" s="9">
        <v>1</v>
      </c>
      <c r="F152" s="10" t="s">
        <v>17</v>
      </c>
      <c r="G152" s="10" t="s">
        <v>17</v>
      </c>
    </row>
    <row r="153" spans="1:7" x14ac:dyDescent="0.25">
      <c r="A153" s="6" t="s">
        <v>25</v>
      </c>
      <c r="B153" s="7" t="s">
        <v>189</v>
      </c>
      <c r="C153" s="8">
        <v>293540.15999999997</v>
      </c>
      <c r="D153" s="8">
        <v>293540.15999999997</v>
      </c>
      <c r="E153" s="9">
        <v>1</v>
      </c>
      <c r="F153" s="10" t="s">
        <v>17</v>
      </c>
      <c r="G153" s="10" t="s">
        <v>17</v>
      </c>
    </row>
    <row r="154" spans="1:7" x14ac:dyDescent="0.25">
      <c r="A154" s="6" t="s">
        <v>26</v>
      </c>
      <c r="B154" s="7" t="s">
        <v>280</v>
      </c>
      <c r="C154" s="8">
        <v>243120.88</v>
      </c>
      <c r="D154" s="8">
        <v>887.73</v>
      </c>
      <c r="E154" s="9">
        <v>3.65139349610778E-3</v>
      </c>
      <c r="F154" s="10" t="s">
        <v>17</v>
      </c>
      <c r="G154" s="10" t="s">
        <v>17</v>
      </c>
    </row>
    <row r="155" spans="1:7" x14ac:dyDescent="0.25">
      <c r="A155" s="6" t="s">
        <v>27</v>
      </c>
      <c r="B155" s="7" t="s">
        <v>173</v>
      </c>
      <c r="C155" s="8">
        <v>211000.76</v>
      </c>
      <c r="D155" s="8">
        <v>28541.66</v>
      </c>
      <c r="E155" s="9">
        <v>0.135268043584298</v>
      </c>
      <c r="F155" s="10" t="s">
        <v>17</v>
      </c>
      <c r="G155" s="10" t="s">
        <v>17</v>
      </c>
    </row>
    <row r="156" spans="1:7" x14ac:dyDescent="0.25">
      <c r="A156" s="6" t="s">
        <v>28</v>
      </c>
      <c r="B156" s="7" t="s">
        <v>205</v>
      </c>
      <c r="C156" s="8">
        <v>205541.02</v>
      </c>
      <c r="D156" s="8">
        <v>23301.82</v>
      </c>
      <c r="E156" s="9">
        <v>0.113368222070709</v>
      </c>
      <c r="F156" s="10" t="s">
        <v>17</v>
      </c>
      <c r="G156" s="10" t="s">
        <v>17</v>
      </c>
    </row>
    <row r="157" spans="1:7" x14ac:dyDescent="0.25">
      <c r="A157" s="6" t="s">
        <v>29</v>
      </c>
      <c r="B157" s="7" t="s">
        <v>186</v>
      </c>
      <c r="C157" s="8">
        <v>202257.15</v>
      </c>
      <c r="D157" s="8">
        <v>202257.15</v>
      </c>
      <c r="E157" s="9">
        <v>1</v>
      </c>
      <c r="F157" s="10" t="s">
        <v>17</v>
      </c>
      <c r="G157" s="10" t="s">
        <v>17</v>
      </c>
    </row>
    <row r="158" spans="1:7" x14ac:dyDescent="0.25">
      <c r="A158" s="6" t="s">
        <v>30</v>
      </c>
      <c r="B158" s="7" t="s">
        <v>224</v>
      </c>
      <c r="C158" s="8">
        <v>201401.3</v>
      </c>
      <c r="D158" s="8">
        <v>201401.3</v>
      </c>
      <c r="E158" s="9">
        <v>1</v>
      </c>
      <c r="F158" s="10" t="s">
        <v>17</v>
      </c>
      <c r="G158" s="10" t="s">
        <v>17</v>
      </c>
    </row>
    <row r="159" spans="1:7" x14ac:dyDescent="0.25">
      <c r="A159" s="6" t="s">
        <v>31</v>
      </c>
      <c r="B159" s="7" t="s">
        <v>195</v>
      </c>
      <c r="C159" s="8">
        <v>174581.9</v>
      </c>
      <c r="D159" s="8">
        <v>75860.490000000005</v>
      </c>
      <c r="E159" s="9">
        <v>0.43452666055301298</v>
      </c>
      <c r="F159" s="10" t="s">
        <v>17</v>
      </c>
      <c r="G159" s="10" t="s">
        <v>17</v>
      </c>
    </row>
    <row r="160" spans="1:7" x14ac:dyDescent="0.25">
      <c r="A160" s="6" t="s">
        <v>32</v>
      </c>
      <c r="B160" s="7" t="s">
        <v>180</v>
      </c>
      <c r="C160" s="8">
        <v>157526.12</v>
      </c>
      <c r="D160" s="8">
        <v>1251.25</v>
      </c>
      <c r="E160" s="9">
        <v>7.9431271461520205E-3</v>
      </c>
      <c r="F160" s="10" t="s">
        <v>17</v>
      </c>
      <c r="G160" s="10" t="s">
        <v>17</v>
      </c>
    </row>
    <row r="161" spans="1:7" x14ac:dyDescent="0.25">
      <c r="A161" s="6" t="s">
        <v>33</v>
      </c>
      <c r="B161" s="7" t="s">
        <v>163</v>
      </c>
      <c r="C161" s="8">
        <v>149171.03</v>
      </c>
      <c r="D161" s="8">
        <v>50.14</v>
      </c>
      <c r="E161" s="9">
        <v>3.36124246108645E-4</v>
      </c>
      <c r="F161" s="10" t="s">
        <v>17</v>
      </c>
      <c r="G161" s="10" t="s">
        <v>17</v>
      </c>
    </row>
    <row r="162" spans="1:7" x14ac:dyDescent="0.25">
      <c r="A162" s="6" t="s">
        <v>34</v>
      </c>
      <c r="B162" s="7" t="s">
        <v>211</v>
      </c>
      <c r="C162" s="8">
        <v>144603.07999999999</v>
      </c>
      <c r="D162" s="8">
        <v>12166.11</v>
      </c>
      <c r="E162" s="9">
        <v>8.4134514977136005E-2</v>
      </c>
      <c r="F162" s="10" t="s">
        <v>17</v>
      </c>
      <c r="G162" s="10" t="s">
        <v>17</v>
      </c>
    </row>
    <row r="163" spans="1:7" x14ac:dyDescent="0.25">
      <c r="A163" s="6" t="s">
        <v>35</v>
      </c>
      <c r="B163" s="7" t="s">
        <v>254</v>
      </c>
      <c r="C163" s="8">
        <v>135456.24</v>
      </c>
      <c r="D163" s="8">
        <v>15448.8</v>
      </c>
      <c r="E163" s="9">
        <v>0.114050116849545</v>
      </c>
      <c r="F163" s="10" t="s">
        <v>17</v>
      </c>
      <c r="G163" s="10" t="s">
        <v>17</v>
      </c>
    </row>
    <row r="164" spans="1:7" x14ac:dyDescent="0.25">
      <c r="A164" s="6" t="s">
        <v>36</v>
      </c>
      <c r="B164" s="7" t="s">
        <v>279</v>
      </c>
      <c r="C164" s="8">
        <v>134908.72</v>
      </c>
      <c r="D164" s="8">
        <v>134908.72</v>
      </c>
      <c r="E164" s="9">
        <v>1</v>
      </c>
      <c r="F164" s="10" t="s">
        <v>17</v>
      </c>
      <c r="G164" s="10" t="s">
        <v>17</v>
      </c>
    </row>
    <row r="165" spans="1:7" x14ac:dyDescent="0.25">
      <c r="A165" s="6" t="s">
        <v>37</v>
      </c>
      <c r="B165" s="7" t="s">
        <v>187</v>
      </c>
      <c r="C165" s="8">
        <v>131167.23000000001</v>
      </c>
      <c r="D165" s="8">
        <v>131167.23000000001</v>
      </c>
      <c r="E165" s="9">
        <v>1</v>
      </c>
      <c r="F165" s="10" t="s">
        <v>17</v>
      </c>
      <c r="G165" s="10" t="s">
        <v>17</v>
      </c>
    </row>
    <row r="166" spans="1:7" x14ac:dyDescent="0.25">
      <c r="A166" s="6" t="s">
        <v>38</v>
      </c>
      <c r="B166" s="7" t="s">
        <v>303</v>
      </c>
      <c r="C166" s="8">
        <v>121006.87</v>
      </c>
      <c r="D166" s="8">
        <v>121006.87</v>
      </c>
      <c r="E166" s="9">
        <v>1</v>
      </c>
      <c r="F166" s="10" t="s">
        <v>17</v>
      </c>
      <c r="G166" s="10" t="s">
        <v>17</v>
      </c>
    </row>
    <row r="167" spans="1:7" x14ac:dyDescent="0.25">
      <c r="A167" s="6" t="s">
        <v>39</v>
      </c>
      <c r="B167" s="7" t="s">
        <v>215</v>
      </c>
      <c r="C167" s="8">
        <v>117972.4</v>
      </c>
      <c r="D167" s="8">
        <v>935.69</v>
      </c>
      <c r="E167" s="9">
        <v>7.9314314195523695E-3</v>
      </c>
      <c r="F167" s="10" t="s">
        <v>17</v>
      </c>
      <c r="G167" s="10" t="s">
        <v>17</v>
      </c>
    </row>
    <row r="168" spans="1:7" x14ac:dyDescent="0.25">
      <c r="A168" s="6" t="s">
        <v>40</v>
      </c>
      <c r="B168" s="7" t="s">
        <v>308</v>
      </c>
      <c r="C168" s="8">
        <v>97295.096000000005</v>
      </c>
      <c r="D168" s="8">
        <v>2017.19</v>
      </c>
      <c r="E168" s="9">
        <v>2.0732699621366299E-2</v>
      </c>
      <c r="F168" s="10" t="s">
        <v>17</v>
      </c>
      <c r="G168" s="10" t="s">
        <v>17</v>
      </c>
    </row>
    <row r="169" spans="1:7" x14ac:dyDescent="0.25">
      <c r="A169" s="6" t="s">
        <v>41</v>
      </c>
      <c r="B169" s="7" t="s">
        <v>294</v>
      </c>
      <c r="C169" s="8">
        <v>84238.81</v>
      </c>
      <c r="D169" s="8">
        <v>46086.25</v>
      </c>
      <c r="E169" s="9">
        <v>0.54709046815832296</v>
      </c>
      <c r="F169" s="10" t="s">
        <v>17</v>
      </c>
      <c r="G169" s="10" t="s">
        <v>17</v>
      </c>
    </row>
    <row r="170" spans="1:7" x14ac:dyDescent="0.25">
      <c r="A170" s="6" t="s">
        <v>42</v>
      </c>
      <c r="B170" s="7" t="s">
        <v>184</v>
      </c>
      <c r="C170" s="8">
        <v>80131.839999999997</v>
      </c>
      <c r="D170" s="8">
        <v>80131.839999999997</v>
      </c>
      <c r="E170" s="9">
        <v>1</v>
      </c>
      <c r="F170" s="10" t="s">
        <v>17</v>
      </c>
      <c r="G170" s="10" t="s">
        <v>17</v>
      </c>
    </row>
    <row r="171" spans="1:7" x14ac:dyDescent="0.25">
      <c r="A171" s="6" t="s">
        <v>43</v>
      </c>
      <c r="B171" s="7" t="s">
        <v>280</v>
      </c>
      <c r="C171" s="8">
        <v>73290.009999999995</v>
      </c>
      <c r="D171" s="8">
        <v>1165.73</v>
      </c>
      <c r="E171" s="9">
        <v>1.5905714844356E-2</v>
      </c>
      <c r="F171" s="10" t="s">
        <v>17</v>
      </c>
      <c r="G171" s="10" t="s">
        <v>17</v>
      </c>
    </row>
    <row r="172" spans="1:7" x14ac:dyDescent="0.25">
      <c r="A172" s="6" t="s">
        <v>44</v>
      </c>
      <c r="B172" s="7" t="s">
        <v>284</v>
      </c>
      <c r="C172" s="8">
        <v>56401.79</v>
      </c>
      <c r="D172" s="8">
        <v>11313.96</v>
      </c>
      <c r="E172" s="9">
        <v>0.200595761233819</v>
      </c>
      <c r="F172" s="10" t="s">
        <v>17</v>
      </c>
      <c r="G172" s="10" t="s">
        <v>17</v>
      </c>
    </row>
    <row r="173" spans="1:7" x14ac:dyDescent="0.25">
      <c r="A173" s="6" t="s">
        <v>45</v>
      </c>
      <c r="B173" s="7" t="s">
        <v>175</v>
      </c>
      <c r="C173" s="8">
        <v>54842.77</v>
      </c>
      <c r="D173" s="8">
        <v>54842.77</v>
      </c>
      <c r="E173" s="9">
        <v>1</v>
      </c>
      <c r="F173" s="10" t="s">
        <v>17</v>
      </c>
      <c r="G173" s="10" t="s">
        <v>17</v>
      </c>
    </row>
    <row r="174" spans="1:7" x14ac:dyDescent="0.25">
      <c r="A174" s="6" t="s">
        <v>46</v>
      </c>
      <c r="B174" s="7" t="s">
        <v>227</v>
      </c>
      <c r="C174" s="8">
        <v>50059.42</v>
      </c>
      <c r="D174" s="8">
        <v>50059.42</v>
      </c>
      <c r="E174" s="9">
        <v>1</v>
      </c>
      <c r="F174" s="10" t="s">
        <v>17</v>
      </c>
      <c r="G174" s="10" t="s">
        <v>17</v>
      </c>
    </row>
    <row r="175" spans="1:7" x14ac:dyDescent="0.25">
      <c r="A175" s="6" t="s">
        <v>47</v>
      </c>
      <c r="B175" s="7" t="s">
        <v>248</v>
      </c>
      <c r="C175" s="8">
        <v>37314.75</v>
      </c>
      <c r="D175" s="8">
        <v>37314.75</v>
      </c>
      <c r="E175" s="9">
        <v>1</v>
      </c>
      <c r="F175" s="10" t="s">
        <v>17</v>
      </c>
      <c r="G175" s="10" t="s">
        <v>17</v>
      </c>
    </row>
    <row r="176" spans="1:7" x14ac:dyDescent="0.25">
      <c r="A176" s="6" t="s">
        <v>48</v>
      </c>
      <c r="B176" s="7" t="s">
        <v>261</v>
      </c>
      <c r="C176" s="8">
        <v>35339.54</v>
      </c>
      <c r="D176" s="8">
        <v>9833.81</v>
      </c>
      <c r="E176" s="9">
        <v>0.278266496960628</v>
      </c>
      <c r="F176" s="10" t="s">
        <v>17</v>
      </c>
      <c r="G176" s="10" t="s">
        <v>17</v>
      </c>
    </row>
    <row r="177" spans="1:7" x14ac:dyDescent="0.25">
      <c r="A177" s="6" t="s">
        <v>49</v>
      </c>
      <c r="B177" s="7" t="s">
        <v>190</v>
      </c>
      <c r="C177" s="8">
        <v>33618.79</v>
      </c>
      <c r="D177" s="8">
        <v>33618.79</v>
      </c>
      <c r="E177" s="9">
        <v>1</v>
      </c>
      <c r="F177" s="10" t="s">
        <v>17</v>
      </c>
      <c r="G177" s="10" t="s">
        <v>17</v>
      </c>
    </row>
    <row r="178" spans="1:7" x14ac:dyDescent="0.25">
      <c r="A178" s="6" t="s">
        <v>50</v>
      </c>
      <c r="B178" s="7" t="s">
        <v>220</v>
      </c>
      <c r="C178" s="8">
        <v>20872.25</v>
      </c>
      <c r="D178" s="8">
        <v>20872.25</v>
      </c>
      <c r="E178" s="9">
        <v>1</v>
      </c>
      <c r="F178" s="10" t="s">
        <v>17</v>
      </c>
      <c r="G178" s="10" t="s">
        <v>17</v>
      </c>
    </row>
    <row r="179" spans="1:7" x14ac:dyDescent="0.25">
      <c r="A179" s="6" t="s">
        <v>51</v>
      </c>
      <c r="B179" s="7" t="s">
        <v>285</v>
      </c>
      <c r="C179" s="8">
        <v>20002.439999999999</v>
      </c>
      <c r="D179" s="8">
        <v>20002.439999999999</v>
      </c>
      <c r="E179" s="9">
        <v>1</v>
      </c>
      <c r="F179" s="10" t="s">
        <v>17</v>
      </c>
      <c r="G179" s="10" t="s">
        <v>17</v>
      </c>
    </row>
    <row r="180" spans="1:7" x14ac:dyDescent="0.25">
      <c r="A180" s="6" t="s">
        <v>52</v>
      </c>
      <c r="B180" s="7" t="s">
        <v>287</v>
      </c>
      <c r="C180" s="8">
        <v>11376.58</v>
      </c>
      <c r="D180" s="8">
        <v>285.43</v>
      </c>
      <c r="E180" s="9">
        <v>2.5089262326639501E-2</v>
      </c>
      <c r="F180" s="10" t="s">
        <v>17</v>
      </c>
      <c r="G180" s="10" t="s">
        <v>17</v>
      </c>
    </row>
    <row r="181" spans="1:7" x14ac:dyDescent="0.25">
      <c r="A181" s="6" t="s">
        <v>53</v>
      </c>
      <c r="B181" s="7" t="s">
        <v>238</v>
      </c>
      <c r="C181" s="8">
        <v>6094.54</v>
      </c>
      <c r="D181" s="8">
        <v>66.16</v>
      </c>
      <c r="E181" s="9">
        <v>1.0855618307534299E-2</v>
      </c>
      <c r="F181" s="10" t="s">
        <v>17</v>
      </c>
      <c r="G181" s="10" t="s">
        <v>17</v>
      </c>
    </row>
    <row r="182" spans="1:7" x14ac:dyDescent="0.25">
      <c r="A182" s="6" t="s">
        <v>54</v>
      </c>
      <c r="B182" s="7" t="s">
        <v>261</v>
      </c>
      <c r="C182" s="8">
        <v>5505.76</v>
      </c>
      <c r="D182" s="8">
        <v>5505.76</v>
      </c>
      <c r="E182" s="9">
        <v>1</v>
      </c>
      <c r="F182" s="10" t="s">
        <v>17</v>
      </c>
      <c r="G182" s="10" t="s">
        <v>17</v>
      </c>
    </row>
    <row r="183" spans="1:7" x14ac:dyDescent="0.25">
      <c r="A183" s="6" t="s">
        <v>55</v>
      </c>
      <c r="B183" s="7" t="s">
        <v>288</v>
      </c>
      <c r="C183" s="8">
        <v>4917.22</v>
      </c>
      <c r="D183" s="8">
        <v>948.17</v>
      </c>
      <c r="E183" s="9">
        <v>0.19282643444873299</v>
      </c>
      <c r="F183" s="10" t="s">
        <v>17</v>
      </c>
      <c r="G183" s="10" t="s">
        <v>17</v>
      </c>
    </row>
    <row r="184" spans="1:7" x14ac:dyDescent="0.25">
      <c r="A184" s="6" t="s">
        <v>56</v>
      </c>
      <c r="B184" s="7" t="s">
        <v>326</v>
      </c>
      <c r="C184" s="8">
        <v>2674.03</v>
      </c>
      <c r="D184" s="8">
        <v>2674.03</v>
      </c>
      <c r="E184" s="9">
        <v>1</v>
      </c>
      <c r="F184" s="10" t="s">
        <v>17</v>
      </c>
      <c r="G184" s="10" t="s">
        <v>17</v>
      </c>
    </row>
    <row r="185" spans="1:7" x14ac:dyDescent="0.25">
      <c r="A185" s="6" t="s">
        <v>57</v>
      </c>
      <c r="B185" s="7" t="s">
        <v>202</v>
      </c>
      <c r="C185" s="8">
        <v>1630.16</v>
      </c>
      <c r="D185" s="8">
        <v>19.43</v>
      </c>
      <c r="E185" s="9">
        <v>1.1919075428178799E-2</v>
      </c>
      <c r="F185" s="10" t="s">
        <v>17</v>
      </c>
      <c r="G185" s="10" t="s">
        <v>17</v>
      </c>
    </row>
    <row r="186" spans="1:7" x14ac:dyDescent="0.25">
      <c r="A186" s="6" t="s">
        <v>58</v>
      </c>
      <c r="B186" s="7" t="s">
        <v>295</v>
      </c>
      <c r="C186" s="8">
        <v>1200.01</v>
      </c>
      <c r="D186" s="8">
        <v>1200.01</v>
      </c>
      <c r="E186" s="9">
        <v>1</v>
      </c>
      <c r="F186" s="10" t="s">
        <v>17</v>
      </c>
      <c r="G186" s="10" t="s">
        <v>17</v>
      </c>
    </row>
    <row r="187" spans="1:7" x14ac:dyDescent="0.25">
      <c r="A187" s="6" t="s">
        <v>59</v>
      </c>
      <c r="B187" s="7" t="s">
        <v>289</v>
      </c>
      <c r="C187" s="8">
        <v>1178.22</v>
      </c>
      <c r="D187" s="8">
        <v>54.98</v>
      </c>
      <c r="E187" s="9">
        <v>4.6663611210130497E-2</v>
      </c>
      <c r="F187" s="10" t="s">
        <v>17</v>
      </c>
      <c r="G187" s="10" t="s">
        <v>17</v>
      </c>
    </row>
    <row r="188" spans="1:7" x14ac:dyDescent="0.25">
      <c r="A188" s="6" t="s">
        <v>60</v>
      </c>
      <c r="B188" s="7" t="s">
        <v>327</v>
      </c>
      <c r="C188" s="8">
        <v>1150.42</v>
      </c>
      <c r="D188" s="8">
        <v>1150.42</v>
      </c>
      <c r="E188" s="9">
        <v>1</v>
      </c>
      <c r="F188" s="10" t="s">
        <v>17</v>
      </c>
      <c r="G188" s="10" t="s">
        <v>17</v>
      </c>
    </row>
    <row r="189" spans="1:7" x14ac:dyDescent="0.25">
      <c r="A189" s="6" t="s">
        <v>61</v>
      </c>
      <c r="B189" s="7" t="s">
        <v>314</v>
      </c>
      <c r="C189" s="8">
        <v>1000.42</v>
      </c>
      <c r="D189" s="8">
        <v>1000.42</v>
      </c>
      <c r="E189" s="9">
        <v>1</v>
      </c>
      <c r="F189" s="10" t="s">
        <v>17</v>
      </c>
      <c r="G189" s="10" t="s">
        <v>17</v>
      </c>
    </row>
    <row r="190" spans="1:7" x14ac:dyDescent="0.25">
      <c r="A190" s="6" t="s">
        <v>62</v>
      </c>
      <c r="B190" s="7" t="s">
        <v>290</v>
      </c>
      <c r="C190" s="8">
        <v>624.52</v>
      </c>
      <c r="D190" s="8">
        <v>89.51</v>
      </c>
      <c r="E190" s="9">
        <v>0.14332607442515899</v>
      </c>
      <c r="F190" s="10" t="s">
        <v>17</v>
      </c>
      <c r="G190" s="10" t="s">
        <v>17</v>
      </c>
    </row>
    <row r="191" spans="1:7" x14ac:dyDescent="0.25">
      <c r="A191" s="6" t="s">
        <v>63</v>
      </c>
      <c r="B191" s="7" t="s">
        <v>204</v>
      </c>
      <c r="C191" s="8">
        <v>21.6</v>
      </c>
      <c r="D191" s="8">
        <v>21.6</v>
      </c>
      <c r="E191" s="9">
        <v>1</v>
      </c>
      <c r="F191" s="10" t="s">
        <v>17</v>
      </c>
      <c r="G191" s="10" t="s">
        <v>17</v>
      </c>
    </row>
    <row r="192" spans="1:7" x14ac:dyDescent="0.25">
      <c r="A192" s="6" t="s">
        <v>64</v>
      </c>
      <c r="B192" s="7" t="s">
        <v>271</v>
      </c>
      <c r="C192" s="8">
        <v>20.07</v>
      </c>
      <c r="D192" s="8">
        <v>20.07</v>
      </c>
      <c r="E192" s="9">
        <v>1</v>
      </c>
      <c r="F192" s="10" t="s">
        <v>17</v>
      </c>
      <c r="G192" s="10" t="s">
        <v>17</v>
      </c>
    </row>
    <row r="193" spans="1:7" x14ac:dyDescent="0.25">
      <c r="A193" s="6" t="s">
        <v>65</v>
      </c>
      <c r="B193" s="7" t="s">
        <v>297</v>
      </c>
      <c r="C193" s="8">
        <v>6.87</v>
      </c>
      <c r="D193" s="8">
        <v>6.87</v>
      </c>
      <c r="E193" s="9">
        <v>1</v>
      </c>
      <c r="F193" s="10" t="s">
        <v>17</v>
      </c>
      <c r="G193" s="10" t="s">
        <v>17</v>
      </c>
    </row>
    <row r="194" spans="1:7" x14ac:dyDescent="0.25">
      <c r="A194" s="6" t="s">
        <v>66</v>
      </c>
      <c r="B194" s="7" t="s">
        <v>296</v>
      </c>
      <c r="C194" s="8">
        <v>3.17</v>
      </c>
      <c r="D194" s="8">
        <v>3.17</v>
      </c>
      <c r="E194" s="9">
        <v>1</v>
      </c>
      <c r="F194" s="10" t="s">
        <v>17</v>
      </c>
      <c r="G194" s="10" t="s">
        <v>17</v>
      </c>
    </row>
    <row r="195" spans="1:7" x14ac:dyDescent="0.25">
      <c r="A195" s="6" t="s">
        <v>67</v>
      </c>
      <c r="B195" s="7" t="s">
        <v>281</v>
      </c>
      <c r="C195" s="8">
        <v>0.33</v>
      </c>
      <c r="D195" s="8">
        <v>0.33</v>
      </c>
      <c r="E195" s="9">
        <v>1</v>
      </c>
      <c r="F195" s="10" t="s">
        <v>17</v>
      </c>
      <c r="G195" s="10" t="s">
        <v>17</v>
      </c>
    </row>
    <row r="196" spans="1:7" x14ac:dyDescent="0.25">
      <c r="A196" s="6" t="s">
        <v>68</v>
      </c>
      <c r="B196" s="7" t="s">
        <v>164</v>
      </c>
      <c r="C196" s="8">
        <v>0.03</v>
      </c>
      <c r="D196" s="8">
        <v>0.03</v>
      </c>
      <c r="E196" s="9">
        <v>1</v>
      </c>
      <c r="F196" s="10" t="s">
        <v>17</v>
      </c>
      <c r="G196" s="10" t="s">
        <v>17</v>
      </c>
    </row>
    <row r="197" spans="1:7" x14ac:dyDescent="0.25">
      <c r="A197" s="6" t="s">
        <v>69</v>
      </c>
      <c r="B197" s="7" t="s">
        <v>230</v>
      </c>
      <c r="C197" s="8">
        <v>0.01</v>
      </c>
      <c r="D197" s="8">
        <v>0.01</v>
      </c>
      <c r="E197" s="9">
        <v>1</v>
      </c>
      <c r="F197" s="10" t="s">
        <v>17</v>
      </c>
      <c r="G197" s="10" t="s">
        <v>17</v>
      </c>
    </row>
    <row r="198" spans="1:7" x14ac:dyDescent="0.25">
      <c r="A198" s="6" t="s">
        <v>70</v>
      </c>
      <c r="B198" s="7" t="s">
        <v>208</v>
      </c>
      <c r="C198" s="8">
        <v>0.01</v>
      </c>
      <c r="D198" s="8">
        <v>0.01</v>
      </c>
      <c r="E198" s="9">
        <v>1</v>
      </c>
      <c r="F198" s="10" t="s">
        <v>17</v>
      </c>
      <c r="G198" s="10" t="s">
        <v>17</v>
      </c>
    </row>
    <row r="199" spans="1:7" x14ac:dyDescent="0.25">
      <c r="A199" s="6" t="s">
        <v>71</v>
      </c>
      <c r="B199" s="7" t="s">
        <v>286</v>
      </c>
      <c r="C199" s="8">
        <v>0</v>
      </c>
      <c r="D199" s="8">
        <v>0</v>
      </c>
      <c r="E199" s="9">
        <v>0</v>
      </c>
      <c r="F199" s="10" t="s">
        <v>17</v>
      </c>
      <c r="G199" s="10" t="s">
        <v>17</v>
      </c>
    </row>
    <row r="200" spans="1:7" x14ac:dyDescent="0.25">
      <c r="A200" s="6" t="s">
        <v>72</v>
      </c>
      <c r="B200" s="7" t="s">
        <v>210</v>
      </c>
      <c r="C200" s="8">
        <v>0</v>
      </c>
      <c r="D200" s="8">
        <v>0</v>
      </c>
      <c r="E200" s="9">
        <v>0</v>
      </c>
      <c r="F200" s="10" t="s">
        <v>17</v>
      </c>
      <c r="G200" s="10" t="s">
        <v>17</v>
      </c>
    </row>
    <row r="201" spans="1:7" x14ac:dyDescent="0.25">
      <c r="A201" s="6" t="s">
        <v>73</v>
      </c>
      <c r="B201" s="7" t="s">
        <v>219</v>
      </c>
      <c r="C201" s="8">
        <v>0</v>
      </c>
      <c r="D201" s="8">
        <v>0</v>
      </c>
      <c r="E201" s="9">
        <v>0</v>
      </c>
      <c r="F201" s="10" t="s">
        <v>17</v>
      </c>
      <c r="G201" s="10" t="s">
        <v>17</v>
      </c>
    </row>
    <row r="202" spans="1:7" x14ac:dyDescent="0.25">
      <c r="A202" s="6" t="s">
        <v>74</v>
      </c>
      <c r="B202" s="7" t="s">
        <v>262</v>
      </c>
      <c r="C202" s="8">
        <v>0</v>
      </c>
      <c r="D202" s="8">
        <v>0</v>
      </c>
      <c r="E202" s="9">
        <v>0</v>
      </c>
      <c r="F202" s="10" t="s">
        <v>17</v>
      </c>
      <c r="G202" s="10" t="s">
        <v>17</v>
      </c>
    </row>
    <row r="203" spans="1:7" x14ac:dyDescent="0.25">
      <c r="A203" s="6" t="s">
        <v>75</v>
      </c>
      <c r="B203" s="7" t="s">
        <v>282</v>
      </c>
      <c r="C203" s="8">
        <v>0</v>
      </c>
      <c r="D203" s="8">
        <v>0</v>
      </c>
      <c r="E203" s="9">
        <v>0</v>
      </c>
      <c r="F203" s="10" t="s">
        <v>17</v>
      </c>
      <c r="G203" s="10" t="s">
        <v>17</v>
      </c>
    </row>
    <row r="204" spans="1:7" x14ac:dyDescent="0.25">
      <c r="A204" s="6" t="s">
        <v>76</v>
      </c>
      <c r="B204" s="7" t="s">
        <v>229</v>
      </c>
      <c r="C204" s="8">
        <v>0</v>
      </c>
      <c r="D204" s="8">
        <v>0</v>
      </c>
      <c r="E204" s="9">
        <v>0</v>
      </c>
      <c r="F204" s="10" t="s">
        <v>17</v>
      </c>
      <c r="G204" s="10" t="s">
        <v>17</v>
      </c>
    </row>
    <row r="205" spans="1:7" x14ac:dyDescent="0.25">
      <c r="A205" s="6" t="s">
        <v>77</v>
      </c>
      <c r="B205" s="7" t="s">
        <v>221</v>
      </c>
      <c r="C205" s="8">
        <v>0</v>
      </c>
      <c r="D205" s="8">
        <v>0</v>
      </c>
      <c r="E205" s="9">
        <v>0</v>
      </c>
      <c r="F205" s="10" t="s">
        <v>17</v>
      </c>
      <c r="G205" s="10" t="s">
        <v>17</v>
      </c>
    </row>
    <row r="206" spans="1:7" x14ac:dyDescent="0.25">
      <c r="C206" s="8"/>
      <c r="D206" s="8"/>
      <c r="E206" s="9"/>
    </row>
    <row r="211" spans="2:5" x14ac:dyDescent="0.25">
      <c r="B211" s="20" t="s">
        <v>273</v>
      </c>
      <c r="C211" s="21">
        <f>SUM(C2:C144)</f>
        <v>84160974.857800037</v>
      </c>
      <c r="D211" s="21">
        <f>SUM(D2:D144)</f>
        <v>20622360.860000007</v>
      </c>
      <c r="E211" s="22">
        <f>(D211 / C211)</f>
        <v>0.24503471941531019</v>
      </c>
    </row>
    <row r="215" spans="2:5" x14ac:dyDescent="0.25">
      <c r="B215" s="20" t="s">
        <v>272</v>
      </c>
      <c r="C215" s="21">
        <f>SUM(C145:C209)</f>
        <v>11422740.245999994</v>
      </c>
      <c r="D215" s="21">
        <f>SUM(D145:D209)</f>
        <v>7342655.4000000013</v>
      </c>
      <c r="E215" s="22">
        <f>(D215 / C215)</f>
        <v>0.64281032763318302</v>
      </c>
    </row>
    <row r="219" spans="2:5" x14ac:dyDescent="0.25">
      <c r="B219" s="20" t="s">
        <v>274</v>
      </c>
      <c r="C219" s="21">
        <f>SUM(C2:C215) / 2</f>
        <v>95583715.103800058</v>
      </c>
      <c r="D219" s="21">
        <f>SUM(D2:D215) / 2</f>
        <v>27965016.260000017</v>
      </c>
      <c r="E219" s="22">
        <f>(D219 / C219)</f>
        <v>0.29257092831797904</v>
      </c>
    </row>
  </sheetData>
  <pageMargins left="0.7" right="0.7" top="0.75" bottom="0.75" header="0.3" footer="0.3"/>
  <pageSetup orientation="landscape" r:id="rId1"/>
  <headerFooter>
    <oddHeader>&amp;R&amp;B&amp;12As of &amp;D&amp;C&amp;B&amp;12Sunset West Daily Cash Percentage Report</oddHeader>
    <oddFooter>&amp;C&amp;B&amp;12&amp;P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083BB-8736-4166-A1B1-33E35A111911}">
  <dimension ref="A1:G219"/>
  <sheetViews>
    <sheetView topLeftCell="A184" workbookViewId="0">
      <selection sqref="A1:XFD1048576"/>
    </sheetView>
  </sheetViews>
  <sheetFormatPr defaultRowHeight="15.75" x14ac:dyDescent="0.25"/>
  <cols>
    <col min="1" max="1" width="5" style="10" bestFit="1" customWidth="1"/>
    <col min="2" max="2" width="26.28515625" style="7" customWidth="1"/>
    <col min="3" max="3" width="15.140625" style="10" customWidth="1"/>
    <col min="4" max="4" width="14" style="10" customWidth="1"/>
    <col min="5" max="5" width="9.140625" style="10"/>
    <col min="6" max="6" width="9.7109375" style="10" customWidth="1"/>
    <col min="7" max="7" width="10.42578125" style="10" customWidth="1"/>
    <col min="8" max="16384" width="9.140625" style="1"/>
  </cols>
  <sheetData>
    <row r="1" spans="1:7" ht="31.5" x14ac:dyDescent="0.25">
      <c r="A1" s="18"/>
      <c r="B1" s="2" t="s">
        <v>157</v>
      </c>
      <c r="C1" s="3" t="s">
        <v>158</v>
      </c>
      <c r="D1" s="3" t="s">
        <v>159</v>
      </c>
      <c r="E1" s="4" t="s">
        <v>160</v>
      </c>
      <c r="F1" s="5" t="s">
        <v>161</v>
      </c>
      <c r="G1" s="5" t="s">
        <v>162</v>
      </c>
    </row>
    <row r="2" spans="1:7" x14ac:dyDescent="0.25">
      <c r="A2" s="6" t="s">
        <v>18</v>
      </c>
      <c r="B2" s="7" t="s">
        <v>163</v>
      </c>
      <c r="C2" s="8">
        <v>4962554.28</v>
      </c>
      <c r="D2" s="8">
        <v>1025240.25</v>
      </c>
      <c r="E2" s="9">
        <v>0.20659527173977801</v>
      </c>
      <c r="F2" s="10" t="s">
        <v>0</v>
      </c>
      <c r="G2" s="11">
        <f>(D2 / F2)</f>
        <v>75.94372222222222</v>
      </c>
    </row>
    <row r="3" spans="1:7" x14ac:dyDescent="0.25">
      <c r="A3" s="6" t="s">
        <v>19</v>
      </c>
      <c r="B3" s="7" t="s">
        <v>297</v>
      </c>
      <c r="C3" s="8">
        <v>4950068.3899999997</v>
      </c>
      <c r="D3" s="8">
        <v>4950068.3899999997</v>
      </c>
      <c r="E3" s="9">
        <v>1</v>
      </c>
      <c r="F3" s="10" t="s">
        <v>17</v>
      </c>
      <c r="G3" s="10" t="s">
        <v>17</v>
      </c>
    </row>
    <row r="4" spans="1:7" x14ac:dyDescent="0.25">
      <c r="A4" s="6" t="s">
        <v>20</v>
      </c>
      <c r="B4" s="7" t="s">
        <v>168</v>
      </c>
      <c r="C4" s="8">
        <v>4314482.59</v>
      </c>
      <c r="D4" s="8">
        <v>1385112.48</v>
      </c>
      <c r="E4" s="9">
        <v>0.32103791152394001</v>
      </c>
      <c r="F4" s="10" t="s">
        <v>17</v>
      </c>
      <c r="G4" s="10" t="s">
        <v>17</v>
      </c>
    </row>
    <row r="5" spans="1:7" x14ac:dyDescent="0.25">
      <c r="A5" s="6" t="s">
        <v>21</v>
      </c>
      <c r="B5" s="7" t="s">
        <v>165</v>
      </c>
      <c r="C5" s="8">
        <v>3305183.1690000002</v>
      </c>
      <c r="D5" s="8">
        <v>726471.3</v>
      </c>
      <c r="E5" s="9">
        <v>0.21979759149620701</v>
      </c>
      <c r="F5" s="10" t="s">
        <v>17</v>
      </c>
      <c r="G5" s="10" t="s">
        <v>17</v>
      </c>
    </row>
    <row r="6" spans="1:7" x14ac:dyDescent="0.25">
      <c r="A6" s="6" t="s">
        <v>22</v>
      </c>
      <c r="B6" s="7" t="s">
        <v>166</v>
      </c>
      <c r="C6" s="8">
        <v>2935670.41</v>
      </c>
      <c r="D6" s="8">
        <v>506678</v>
      </c>
      <c r="E6" s="9">
        <v>0.172593625726534</v>
      </c>
      <c r="F6" s="10" t="s">
        <v>17</v>
      </c>
      <c r="G6" s="10" t="s">
        <v>17</v>
      </c>
    </row>
    <row r="7" spans="1:7" x14ac:dyDescent="0.25">
      <c r="A7" s="6" t="s">
        <v>23</v>
      </c>
      <c r="B7" s="7" t="s">
        <v>164</v>
      </c>
      <c r="C7" s="8">
        <v>2923332.76</v>
      </c>
      <c r="D7" s="8">
        <v>568006.06000000006</v>
      </c>
      <c r="E7" s="9">
        <v>0.19430085680701001</v>
      </c>
      <c r="F7" s="10" t="s">
        <v>1</v>
      </c>
      <c r="G7" s="11">
        <f>(D7 / F7)</f>
        <v>61.539118093174437</v>
      </c>
    </row>
    <row r="8" spans="1:7" x14ac:dyDescent="0.25">
      <c r="A8" s="6" t="s">
        <v>24</v>
      </c>
      <c r="B8" s="7" t="s">
        <v>167</v>
      </c>
      <c r="C8" s="8">
        <v>2571297.65</v>
      </c>
      <c r="D8" s="8">
        <v>1115470.3999999999</v>
      </c>
      <c r="E8" s="9">
        <v>0.43381613171077299</v>
      </c>
      <c r="F8" s="10" t="s">
        <v>2</v>
      </c>
      <c r="G8" s="11">
        <f>(D8 / F8)</f>
        <v>434.37320872274142</v>
      </c>
    </row>
    <row r="9" spans="1:7" x14ac:dyDescent="0.25">
      <c r="A9" s="6" t="s">
        <v>25</v>
      </c>
      <c r="B9" s="7" t="s">
        <v>169</v>
      </c>
      <c r="C9" s="8">
        <v>2281564.5</v>
      </c>
      <c r="D9" s="8">
        <v>351894.64</v>
      </c>
      <c r="E9" s="9">
        <v>0.15423392150430101</v>
      </c>
      <c r="F9" s="10" t="s">
        <v>293</v>
      </c>
      <c r="G9" s="11">
        <f>(D9 / F9)</f>
        <v>37.04154105263158</v>
      </c>
    </row>
    <row r="10" spans="1:7" x14ac:dyDescent="0.25">
      <c r="A10" s="6" t="s">
        <v>26</v>
      </c>
      <c r="B10" s="7" t="s">
        <v>170</v>
      </c>
      <c r="C10" s="8">
        <v>2099600.36</v>
      </c>
      <c r="D10" s="8">
        <v>300607.37</v>
      </c>
      <c r="E10" s="9">
        <v>0.143173613287054</v>
      </c>
      <c r="F10" s="10" t="s">
        <v>3</v>
      </c>
      <c r="G10" s="11">
        <f>(D10 / F10)</f>
        <v>37.57592125</v>
      </c>
    </row>
    <row r="11" spans="1:7" x14ac:dyDescent="0.25">
      <c r="A11" s="6" t="s">
        <v>27</v>
      </c>
      <c r="B11" s="7" t="s">
        <v>171</v>
      </c>
      <c r="C11" s="8">
        <v>2022309.21</v>
      </c>
      <c r="D11" s="8">
        <v>352587.67</v>
      </c>
      <c r="E11" s="9">
        <v>0.174349040323067</v>
      </c>
      <c r="F11" s="10" t="s">
        <v>17</v>
      </c>
      <c r="G11" s="10" t="s">
        <v>17</v>
      </c>
    </row>
    <row r="12" spans="1:7" x14ac:dyDescent="0.25">
      <c r="A12" s="6" t="s">
        <v>28</v>
      </c>
      <c r="B12" s="7" t="s">
        <v>172</v>
      </c>
      <c r="C12" s="8">
        <v>1908119.33</v>
      </c>
      <c r="D12" s="8">
        <v>408504.84</v>
      </c>
      <c r="E12" s="9">
        <v>0.214087679725984</v>
      </c>
      <c r="F12" s="10" t="s">
        <v>17</v>
      </c>
      <c r="G12" s="10" t="s">
        <v>17</v>
      </c>
    </row>
    <row r="13" spans="1:7" x14ac:dyDescent="0.25">
      <c r="A13" s="6" t="s">
        <v>29</v>
      </c>
      <c r="B13" s="7" t="s">
        <v>316</v>
      </c>
      <c r="C13" s="8">
        <v>1896447.0515000001</v>
      </c>
      <c r="D13" s="8">
        <v>1040153.23</v>
      </c>
      <c r="E13" s="9">
        <v>0.54847470124583098</v>
      </c>
      <c r="F13" s="10" t="s">
        <v>17</v>
      </c>
      <c r="G13" s="10" t="s">
        <v>17</v>
      </c>
    </row>
    <row r="14" spans="1:7" x14ac:dyDescent="0.25">
      <c r="A14" s="6" t="s">
        <v>30</v>
      </c>
      <c r="B14" s="7" t="s">
        <v>173</v>
      </c>
      <c r="C14" s="8">
        <v>1821842.63</v>
      </c>
      <c r="D14" s="8">
        <v>335322.28999999998</v>
      </c>
      <c r="E14" s="9">
        <v>0.18405667123949099</v>
      </c>
      <c r="F14" s="10" t="s">
        <v>4</v>
      </c>
      <c r="G14" s="11">
        <f>(D14 / F14)</f>
        <v>55.887048333333333</v>
      </c>
    </row>
    <row r="15" spans="1:7" x14ac:dyDescent="0.25">
      <c r="A15" s="6" t="s">
        <v>31</v>
      </c>
      <c r="B15" s="7" t="s">
        <v>299</v>
      </c>
      <c r="C15" s="8">
        <v>1720357.99</v>
      </c>
      <c r="D15" s="8">
        <v>1161648.26</v>
      </c>
      <c r="E15" s="9">
        <v>0.675236355893578</v>
      </c>
      <c r="F15" s="10" t="s">
        <v>17</v>
      </c>
      <c r="G15" s="10" t="s">
        <v>17</v>
      </c>
    </row>
    <row r="16" spans="1:7" x14ac:dyDescent="0.25">
      <c r="A16" s="6" t="s">
        <v>32</v>
      </c>
      <c r="B16" s="7" t="s">
        <v>175</v>
      </c>
      <c r="C16" s="8">
        <v>1333729.75</v>
      </c>
      <c r="D16" s="8">
        <v>278953.27</v>
      </c>
      <c r="E16" s="9">
        <v>0.20915276876743599</v>
      </c>
      <c r="F16" s="10" t="s">
        <v>17</v>
      </c>
      <c r="G16" s="10" t="s">
        <v>17</v>
      </c>
    </row>
    <row r="17" spans="1:7" x14ac:dyDescent="0.25">
      <c r="A17" s="6" t="s">
        <v>33</v>
      </c>
      <c r="B17" s="7" t="s">
        <v>296</v>
      </c>
      <c r="C17" s="8">
        <v>1252535.9099999999</v>
      </c>
      <c r="D17" s="8">
        <v>127027.2</v>
      </c>
      <c r="E17" s="9">
        <v>0.101416014491752</v>
      </c>
      <c r="F17" s="10" t="s">
        <v>17</v>
      </c>
      <c r="G17" s="10" t="s">
        <v>17</v>
      </c>
    </row>
    <row r="18" spans="1:7" x14ac:dyDescent="0.25">
      <c r="A18" s="6" t="s">
        <v>34</v>
      </c>
      <c r="B18" s="7" t="s">
        <v>177</v>
      </c>
      <c r="C18" s="8">
        <v>1231879.92</v>
      </c>
      <c r="D18" s="8">
        <v>268019.09000000003</v>
      </c>
      <c r="E18" s="9">
        <v>0.21756916859234099</v>
      </c>
      <c r="F18" s="10" t="s">
        <v>5</v>
      </c>
      <c r="G18" s="11">
        <f>(D18 / F18)</f>
        <v>119.11959555555556</v>
      </c>
    </row>
    <row r="19" spans="1:7" x14ac:dyDescent="0.25">
      <c r="A19" s="6" t="s">
        <v>35</v>
      </c>
      <c r="B19" s="7" t="s">
        <v>178</v>
      </c>
      <c r="C19" s="8">
        <v>1225460.78</v>
      </c>
      <c r="D19" s="8">
        <v>266856.95</v>
      </c>
      <c r="E19" s="9">
        <v>0.21776049821847401</v>
      </c>
      <c r="F19" s="10" t="s">
        <v>17</v>
      </c>
      <c r="G19" s="10" t="s">
        <v>17</v>
      </c>
    </row>
    <row r="20" spans="1:7" x14ac:dyDescent="0.25">
      <c r="A20" s="6" t="s">
        <v>36</v>
      </c>
      <c r="B20" s="7" t="s">
        <v>176</v>
      </c>
      <c r="C20" s="8">
        <v>1222672.8400000001</v>
      </c>
      <c r="D20" s="8">
        <v>305187.17</v>
      </c>
      <c r="E20" s="9">
        <v>0.249606566871969</v>
      </c>
      <c r="F20" s="10" t="s">
        <v>17</v>
      </c>
      <c r="G20" s="10" t="s">
        <v>17</v>
      </c>
    </row>
    <row r="21" spans="1:7" x14ac:dyDescent="0.25">
      <c r="A21" s="6" t="s">
        <v>37</v>
      </c>
      <c r="B21" s="7" t="s">
        <v>182</v>
      </c>
      <c r="C21" s="8">
        <v>1200316.22</v>
      </c>
      <c r="D21" s="8">
        <v>39782.18</v>
      </c>
      <c r="E21" s="9">
        <v>3.3143082911934699E-2</v>
      </c>
      <c r="F21" s="10" t="s">
        <v>17</v>
      </c>
      <c r="G21" s="10" t="s">
        <v>17</v>
      </c>
    </row>
    <row r="22" spans="1:7" x14ac:dyDescent="0.25">
      <c r="A22" s="6" t="s">
        <v>38</v>
      </c>
      <c r="B22" s="7" t="s">
        <v>180</v>
      </c>
      <c r="C22" s="8">
        <v>1128683.21</v>
      </c>
      <c r="D22" s="8">
        <v>311328.62</v>
      </c>
      <c r="E22" s="9">
        <v>0.27583348209813502</v>
      </c>
      <c r="F22" s="10" t="s">
        <v>17</v>
      </c>
      <c r="G22" s="10" t="s">
        <v>17</v>
      </c>
    </row>
    <row r="23" spans="1:7" x14ac:dyDescent="0.25">
      <c r="A23" s="6" t="s">
        <v>39</v>
      </c>
      <c r="B23" s="7" t="s">
        <v>189</v>
      </c>
      <c r="C23" s="8">
        <v>1124669.53</v>
      </c>
      <c r="D23" s="8">
        <v>301549.87</v>
      </c>
      <c r="E23" s="9">
        <v>0.26812309034459197</v>
      </c>
      <c r="F23" s="10" t="s">
        <v>17</v>
      </c>
      <c r="G23" s="10" t="s">
        <v>17</v>
      </c>
    </row>
    <row r="24" spans="1:7" x14ac:dyDescent="0.25">
      <c r="A24" s="6" t="s">
        <v>40</v>
      </c>
      <c r="B24" s="7" t="s">
        <v>184</v>
      </c>
      <c r="C24" s="8">
        <v>1124111.29</v>
      </c>
      <c r="D24" s="8">
        <v>117009.14</v>
      </c>
      <c r="E24" s="9">
        <v>0.10409035212162999</v>
      </c>
      <c r="F24" s="10" t="s">
        <v>17</v>
      </c>
      <c r="G24" s="10" t="s">
        <v>17</v>
      </c>
    </row>
    <row r="25" spans="1:7" x14ac:dyDescent="0.25">
      <c r="A25" s="6" t="s">
        <v>41</v>
      </c>
      <c r="B25" s="7" t="s">
        <v>186</v>
      </c>
      <c r="C25" s="8">
        <v>1118999.8500000001</v>
      </c>
      <c r="D25" s="8">
        <v>23493.62</v>
      </c>
      <c r="E25" s="9">
        <v>2.0995194950204899E-2</v>
      </c>
      <c r="F25" s="10" t="s">
        <v>17</v>
      </c>
      <c r="G25" s="10" t="s">
        <v>17</v>
      </c>
    </row>
    <row r="26" spans="1:7" x14ac:dyDescent="0.25">
      <c r="A26" s="6" t="s">
        <v>42</v>
      </c>
      <c r="B26" s="7" t="s">
        <v>179</v>
      </c>
      <c r="C26" s="8">
        <v>1106568.27</v>
      </c>
      <c r="D26" s="8">
        <v>247990.05</v>
      </c>
      <c r="E26" s="9">
        <v>0.22410732055420299</v>
      </c>
      <c r="F26" s="10" t="s">
        <v>4</v>
      </c>
      <c r="G26" s="11">
        <f>(D26 / F26)</f>
        <v>41.331674999999997</v>
      </c>
    </row>
    <row r="27" spans="1:7" x14ac:dyDescent="0.25">
      <c r="A27" s="12" t="s">
        <v>43</v>
      </c>
      <c r="B27" s="13" t="s">
        <v>181</v>
      </c>
      <c r="C27" s="14">
        <v>1028974.6611</v>
      </c>
      <c r="D27" s="14">
        <v>263241.75</v>
      </c>
      <c r="E27" s="15">
        <v>0.25582918603514299</v>
      </c>
      <c r="F27" s="16" t="s">
        <v>6</v>
      </c>
      <c r="G27" s="17">
        <f>(D27 / F27)</f>
        <v>26.324175</v>
      </c>
    </row>
    <row r="28" spans="1:7" x14ac:dyDescent="0.25">
      <c r="A28" s="6" t="s">
        <v>44</v>
      </c>
      <c r="B28" s="7" t="s">
        <v>206</v>
      </c>
      <c r="C28" s="8">
        <v>1010820.18</v>
      </c>
      <c r="D28" s="8">
        <v>427760.46</v>
      </c>
      <c r="E28" s="9">
        <v>0.42318155935509699</v>
      </c>
      <c r="F28" s="10" t="s">
        <v>17</v>
      </c>
      <c r="G28" s="10" t="s">
        <v>17</v>
      </c>
    </row>
    <row r="29" spans="1:7" x14ac:dyDescent="0.25">
      <c r="A29" s="6" t="s">
        <v>45</v>
      </c>
      <c r="B29" s="7" t="s">
        <v>300</v>
      </c>
      <c r="C29" s="8">
        <v>990560.51</v>
      </c>
      <c r="D29" s="8">
        <v>242094.86</v>
      </c>
      <c r="E29" s="9">
        <v>0.24440188918898101</v>
      </c>
      <c r="F29" s="10" t="s">
        <v>17</v>
      </c>
      <c r="G29" s="10" t="s">
        <v>17</v>
      </c>
    </row>
    <row r="30" spans="1:7" x14ac:dyDescent="0.25">
      <c r="A30" s="6" t="s">
        <v>46</v>
      </c>
      <c r="B30" s="7" t="s">
        <v>187</v>
      </c>
      <c r="C30" s="8">
        <v>960207.75</v>
      </c>
      <c r="D30" s="8">
        <v>192179.87</v>
      </c>
      <c r="E30" s="9">
        <v>0.200144052159546</v>
      </c>
      <c r="F30" s="10" t="s">
        <v>17</v>
      </c>
      <c r="G30" s="10" t="s">
        <v>17</v>
      </c>
    </row>
    <row r="31" spans="1:7" x14ac:dyDescent="0.25">
      <c r="A31" s="6" t="s">
        <v>47</v>
      </c>
      <c r="B31" s="7" t="s">
        <v>188</v>
      </c>
      <c r="C31" s="8">
        <v>952107.77</v>
      </c>
      <c r="D31" s="8">
        <v>175316.24</v>
      </c>
      <c r="E31" s="9">
        <v>0.184134869522176</v>
      </c>
      <c r="F31" s="10" t="s">
        <v>17</v>
      </c>
      <c r="G31" s="10" t="s">
        <v>17</v>
      </c>
    </row>
    <row r="32" spans="1:7" x14ac:dyDescent="0.25">
      <c r="A32" s="6" t="s">
        <v>48</v>
      </c>
      <c r="B32" s="7" t="s">
        <v>199</v>
      </c>
      <c r="C32" s="8">
        <v>926416.89</v>
      </c>
      <c r="D32" s="8">
        <v>314175.82</v>
      </c>
      <c r="E32" s="9">
        <v>0.33913006486744901</v>
      </c>
      <c r="F32" s="10" t="s">
        <v>12</v>
      </c>
      <c r="G32" s="11">
        <f>(D32 / F32)</f>
        <v>69.816848888888885</v>
      </c>
    </row>
    <row r="33" spans="1:7" x14ac:dyDescent="0.25">
      <c r="A33" s="6" t="s">
        <v>49</v>
      </c>
      <c r="B33" s="7" t="s">
        <v>174</v>
      </c>
      <c r="C33" s="8">
        <v>925977.8</v>
      </c>
      <c r="D33" s="8">
        <v>801153.91</v>
      </c>
      <c r="E33" s="9">
        <v>0.8651977509612</v>
      </c>
      <c r="F33" s="10" t="s">
        <v>17</v>
      </c>
      <c r="G33" s="10" t="s">
        <v>17</v>
      </c>
    </row>
    <row r="34" spans="1:7" x14ac:dyDescent="0.25">
      <c r="A34" s="6" t="s">
        <v>50</v>
      </c>
      <c r="B34" s="7" t="s">
        <v>185</v>
      </c>
      <c r="C34" s="8">
        <v>901027.99</v>
      </c>
      <c r="D34" s="8">
        <v>207171.93</v>
      </c>
      <c r="E34" s="9">
        <v>0.22992840655260899</v>
      </c>
      <c r="F34" s="10" t="s">
        <v>7</v>
      </c>
      <c r="G34" s="11">
        <f>(D34 / F34)</f>
        <v>59.191980000000001</v>
      </c>
    </row>
    <row r="35" spans="1:7" x14ac:dyDescent="0.25">
      <c r="A35" s="6" t="s">
        <v>51</v>
      </c>
      <c r="B35" s="7" t="s">
        <v>190</v>
      </c>
      <c r="C35" s="8">
        <v>879612.03</v>
      </c>
      <c r="D35" s="8">
        <v>260208.5</v>
      </c>
      <c r="E35" s="9">
        <v>0.29582189775189899</v>
      </c>
      <c r="F35" s="10" t="s">
        <v>17</v>
      </c>
      <c r="G35" s="10" t="s">
        <v>17</v>
      </c>
    </row>
    <row r="36" spans="1:7" x14ac:dyDescent="0.25">
      <c r="A36" s="6" t="s">
        <v>52</v>
      </c>
      <c r="B36" s="7" t="s">
        <v>194</v>
      </c>
      <c r="C36" s="8">
        <v>848404.56</v>
      </c>
      <c r="D36" s="8">
        <v>162798.5</v>
      </c>
      <c r="E36" s="9">
        <v>0.191887818236149</v>
      </c>
      <c r="F36" s="10" t="s">
        <v>10</v>
      </c>
      <c r="G36" s="11">
        <f>(D36 / F36)</f>
        <v>325.59699999999998</v>
      </c>
    </row>
    <row r="37" spans="1:7" x14ac:dyDescent="0.25">
      <c r="A37" s="6" t="s">
        <v>53</v>
      </c>
      <c r="B37" s="7" t="s">
        <v>192</v>
      </c>
      <c r="C37" s="8">
        <v>844246.85</v>
      </c>
      <c r="D37" s="8">
        <v>185499.16</v>
      </c>
      <c r="E37" s="9">
        <v>0.21972147127347899</v>
      </c>
      <c r="F37" s="10" t="s">
        <v>17</v>
      </c>
      <c r="G37" s="10" t="s">
        <v>17</v>
      </c>
    </row>
    <row r="38" spans="1:7" x14ac:dyDescent="0.25">
      <c r="A38" s="6" t="s">
        <v>54</v>
      </c>
      <c r="B38" s="7" t="s">
        <v>193</v>
      </c>
      <c r="C38" s="8">
        <v>812322.66</v>
      </c>
      <c r="D38" s="8">
        <v>154323.98000000001</v>
      </c>
      <c r="E38" s="9">
        <v>0.18997867177557301</v>
      </c>
      <c r="F38" s="10" t="s">
        <v>9</v>
      </c>
      <c r="G38" s="11">
        <f>(D38 / F38)</f>
        <v>60.519207843137259</v>
      </c>
    </row>
    <row r="39" spans="1:7" x14ac:dyDescent="0.25">
      <c r="A39" s="6" t="s">
        <v>55</v>
      </c>
      <c r="B39" s="7" t="s">
        <v>301</v>
      </c>
      <c r="C39" s="8">
        <v>805276.92</v>
      </c>
      <c r="D39" s="8">
        <v>569087.47</v>
      </c>
      <c r="E39" s="9">
        <v>0.70669785246049299</v>
      </c>
      <c r="F39" s="10" t="s">
        <v>17</v>
      </c>
      <c r="G39" s="10" t="s">
        <v>17</v>
      </c>
    </row>
    <row r="40" spans="1:7" x14ac:dyDescent="0.25">
      <c r="A40" s="6" t="s">
        <v>56</v>
      </c>
      <c r="B40" s="7" t="s">
        <v>191</v>
      </c>
      <c r="C40" s="8">
        <v>802156.56</v>
      </c>
      <c r="D40" s="8">
        <v>172869.74</v>
      </c>
      <c r="E40" s="9">
        <v>0.21550623484273401</v>
      </c>
      <c r="F40" s="10" t="s">
        <v>8</v>
      </c>
      <c r="G40" s="11">
        <f>(D40 / F40)</f>
        <v>64.025829629629627</v>
      </c>
    </row>
    <row r="41" spans="1:7" x14ac:dyDescent="0.25">
      <c r="A41" s="6" t="s">
        <v>57</v>
      </c>
      <c r="B41" s="7" t="s">
        <v>195</v>
      </c>
      <c r="C41" s="8">
        <v>800685.21</v>
      </c>
      <c r="D41" s="8">
        <v>194266.85</v>
      </c>
      <c r="E41" s="9">
        <v>0.242625750511865</v>
      </c>
      <c r="F41" s="10" t="s">
        <v>17</v>
      </c>
      <c r="G41" s="10" t="s">
        <v>17</v>
      </c>
    </row>
    <row r="42" spans="1:7" x14ac:dyDescent="0.25">
      <c r="A42" s="6" t="s">
        <v>58</v>
      </c>
      <c r="B42" s="7" t="s">
        <v>219</v>
      </c>
      <c r="C42" s="8">
        <v>794889.47</v>
      </c>
      <c r="D42" s="8">
        <v>328077.18</v>
      </c>
      <c r="E42" s="9">
        <v>0.412733080990493</v>
      </c>
      <c r="F42" s="10" t="s">
        <v>17</v>
      </c>
      <c r="G42" s="10" t="s">
        <v>17</v>
      </c>
    </row>
    <row r="43" spans="1:7" x14ac:dyDescent="0.25">
      <c r="A43" s="6" t="s">
        <v>59</v>
      </c>
      <c r="B43" s="7" t="s">
        <v>302</v>
      </c>
      <c r="C43" s="8">
        <v>755101.46</v>
      </c>
      <c r="D43" s="8">
        <v>406897.82</v>
      </c>
      <c r="E43" s="9">
        <v>0.538865095029746</v>
      </c>
      <c r="F43" s="10" t="s">
        <v>17</v>
      </c>
      <c r="G43" s="10" t="s">
        <v>17</v>
      </c>
    </row>
    <row r="44" spans="1:7" x14ac:dyDescent="0.25">
      <c r="A44" s="6" t="s">
        <v>60</v>
      </c>
      <c r="B44" s="7" t="s">
        <v>252</v>
      </c>
      <c r="C44" s="8">
        <v>712871.58</v>
      </c>
      <c r="D44" s="8">
        <v>134429.18</v>
      </c>
      <c r="E44" s="9">
        <v>0.18857418891632599</v>
      </c>
      <c r="F44" s="10" t="s">
        <v>17</v>
      </c>
      <c r="G44" s="10" t="s">
        <v>17</v>
      </c>
    </row>
    <row r="45" spans="1:7" x14ac:dyDescent="0.25">
      <c r="A45" s="6" t="s">
        <v>61</v>
      </c>
      <c r="B45" s="7" t="s">
        <v>196</v>
      </c>
      <c r="C45" s="8">
        <v>701096.8</v>
      </c>
      <c r="D45" s="8">
        <v>94668.44</v>
      </c>
      <c r="E45" s="9">
        <v>0.13502905732845999</v>
      </c>
      <c r="F45" s="10" t="s">
        <v>17</v>
      </c>
      <c r="G45" s="10" t="s">
        <v>17</v>
      </c>
    </row>
    <row r="46" spans="1:7" x14ac:dyDescent="0.25">
      <c r="A46" s="6" t="s">
        <v>62</v>
      </c>
      <c r="B46" s="7" t="s">
        <v>198</v>
      </c>
      <c r="C46" s="8">
        <v>688899.07</v>
      </c>
      <c r="D46" s="8">
        <v>110726.97</v>
      </c>
      <c r="E46" s="9">
        <v>0.16073032294846901</v>
      </c>
      <c r="F46" s="10" t="s">
        <v>17</v>
      </c>
      <c r="G46" s="10" t="s">
        <v>17</v>
      </c>
    </row>
    <row r="47" spans="1:7" x14ac:dyDescent="0.25">
      <c r="A47" s="6" t="s">
        <v>63</v>
      </c>
      <c r="B47" s="7" t="s">
        <v>201</v>
      </c>
      <c r="C47" s="8">
        <v>633103.66</v>
      </c>
      <c r="D47" s="8">
        <v>119981.19</v>
      </c>
      <c r="E47" s="9">
        <v>0.18951270949847299</v>
      </c>
      <c r="F47" s="10" t="s">
        <v>13</v>
      </c>
      <c r="G47" s="11">
        <f>(D47 / F47)</f>
        <v>39.993729999999999</v>
      </c>
    </row>
    <row r="48" spans="1:7" x14ac:dyDescent="0.25">
      <c r="A48" s="6" t="s">
        <v>64</v>
      </c>
      <c r="B48" s="7" t="s">
        <v>213</v>
      </c>
      <c r="C48" s="8">
        <v>629446.36</v>
      </c>
      <c r="D48" s="8">
        <v>7093.76</v>
      </c>
      <c r="E48" s="9">
        <v>1.1269840372101001E-2</v>
      </c>
      <c r="F48" s="10" t="s">
        <v>17</v>
      </c>
      <c r="G48" s="10" t="s">
        <v>17</v>
      </c>
    </row>
    <row r="49" spans="1:7" x14ac:dyDescent="0.25">
      <c r="A49" s="6" t="s">
        <v>65</v>
      </c>
      <c r="B49" s="7" t="s">
        <v>197</v>
      </c>
      <c r="C49" s="8">
        <v>620324.94999999995</v>
      </c>
      <c r="D49" s="8">
        <v>159627.99</v>
      </c>
      <c r="E49" s="9">
        <v>0.25732963022041899</v>
      </c>
      <c r="F49" s="10" t="s">
        <v>11</v>
      </c>
      <c r="G49" s="11">
        <f>(D49 / F49)</f>
        <v>42.416010564942773</v>
      </c>
    </row>
    <row r="50" spans="1:7" x14ac:dyDescent="0.25">
      <c r="A50" s="6" t="s">
        <v>66</v>
      </c>
      <c r="B50" s="7" t="s">
        <v>205</v>
      </c>
      <c r="C50" s="8">
        <v>590477.04</v>
      </c>
      <c r="D50" s="8">
        <v>86922.4</v>
      </c>
      <c r="E50" s="9">
        <v>0.14720707853433199</v>
      </c>
      <c r="F50" s="10" t="s">
        <v>17</v>
      </c>
      <c r="G50" s="10" t="s">
        <v>17</v>
      </c>
    </row>
    <row r="51" spans="1:7" x14ac:dyDescent="0.25">
      <c r="A51" s="6" t="s">
        <v>67</v>
      </c>
      <c r="B51" s="7" t="s">
        <v>202</v>
      </c>
      <c r="C51" s="8">
        <v>559253.18999999994</v>
      </c>
      <c r="D51" s="8">
        <v>115803</v>
      </c>
      <c r="E51" s="9">
        <v>0.20706721404664699</v>
      </c>
      <c r="F51" s="10" t="s">
        <v>17</v>
      </c>
      <c r="G51" s="10" t="s">
        <v>17</v>
      </c>
    </row>
    <row r="52" spans="1:7" x14ac:dyDescent="0.25">
      <c r="A52" s="6" t="s">
        <v>68</v>
      </c>
      <c r="B52" s="7" t="s">
        <v>203</v>
      </c>
      <c r="C52" s="8">
        <v>552523.68999999994</v>
      </c>
      <c r="D52" s="8">
        <v>64616.6</v>
      </c>
      <c r="E52" s="9">
        <v>0.116948107691093</v>
      </c>
      <c r="F52" s="10" t="s">
        <v>17</v>
      </c>
      <c r="G52" s="10" t="s">
        <v>17</v>
      </c>
    </row>
    <row r="53" spans="1:7" x14ac:dyDescent="0.25">
      <c r="A53" s="6" t="s">
        <v>69</v>
      </c>
      <c r="B53" s="7" t="s">
        <v>204</v>
      </c>
      <c r="C53" s="8">
        <v>521492.06</v>
      </c>
      <c r="D53" s="8">
        <v>104203.42</v>
      </c>
      <c r="E53" s="9">
        <v>0.19981784574054701</v>
      </c>
      <c r="F53" s="10" t="s">
        <v>17</v>
      </c>
      <c r="G53" s="10" t="s">
        <v>17</v>
      </c>
    </row>
    <row r="54" spans="1:7" x14ac:dyDescent="0.25">
      <c r="A54" s="6" t="s">
        <v>70</v>
      </c>
      <c r="B54" s="7" t="s">
        <v>237</v>
      </c>
      <c r="C54" s="8">
        <v>491748.73</v>
      </c>
      <c r="D54" s="8">
        <v>211352.86</v>
      </c>
      <c r="E54" s="9">
        <v>0.42979848671901999</v>
      </c>
      <c r="F54" s="10" t="s">
        <v>17</v>
      </c>
      <c r="G54" s="10" t="s">
        <v>17</v>
      </c>
    </row>
    <row r="55" spans="1:7" x14ac:dyDescent="0.25">
      <c r="A55" s="6" t="s">
        <v>71</v>
      </c>
      <c r="B55" s="7" t="s">
        <v>200</v>
      </c>
      <c r="C55" s="8">
        <v>475245.73</v>
      </c>
      <c r="D55" s="8">
        <v>95361.95</v>
      </c>
      <c r="E55" s="9">
        <v>0.20065819423564299</v>
      </c>
      <c r="F55" s="10" t="s">
        <v>17</v>
      </c>
      <c r="G55" s="10" t="s">
        <v>17</v>
      </c>
    </row>
    <row r="56" spans="1:7" x14ac:dyDescent="0.25">
      <c r="A56" s="6" t="s">
        <v>72</v>
      </c>
      <c r="B56" s="7" t="s">
        <v>215</v>
      </c>
      <c r="C56" s="8">
        <v>462152.1</v>
      </c>
      <c r="D56" s="8">
        <v>73004.539999999994</v>
      </c>
      <c r="E56" s="9">
        <v>0.157966479001177</v>
      </c>
      <c r="F56" s="10" t="s">
        <v>17</v>
      </c>
      <c r="G56" s="10" t="s">
        <v>17</v>
      </c>
    </row>
    <row r="57" spans="1:7" x14ac:dyDescent="0.25">
      <c r="A57" s="6" t="s">
        <v>73</v>
      </c>
      <c r="B57" s="7" t="s">
        <v>207</v>
      </c>
      <c r="C57" s="8">
        <v>460133.35</v>
      </c>
      <c r="D57" s="8">
        <v>137588.20000000001</v>
      </c>
      <c r="E57" s="9">
        <v>0.29901809986170302</v>
      </c>
      <c r="F57" s="10" t="s">
        <v>17</v>
      </c>
      <c r="G57" s="10" t="s">
        <v>17</v>
      </c>
    </row>
    <row r="58" spans="1:7" x14ac:dyDescent="0.25">
      <c r="A58" s="6" t="s">
        <v>74</v>
      </c>
      <c r="B58" s="7" t="s">
        <v>208</v>
      </c>
      <c r="C58" s="8">
        <v>458632.80300000001</v>
      </c>
      <c r="D58" s="8">
        <v>94985.4</v>
      </c>
      <c r="E58" s="9">
        <v>0.20710555236931</v>
      </c>
      <c r="F58" s="10" t="s">
        <v>14</v>
      </c>
      <c r="G58" s="11">
        <f>(D58 / F58)</f>
        <v>37.994160000000001</v>
      </c>
    </row>
    <row r="59" spans="1:7" x14ac:dyDescent="0.25">
      <c r="A59" s="6" t="s">
        <v>75</v>
      </c>
      <c r="B59" s="7" t="s">
        <v>221</v>
      </c>
      <c r="C59" s="8">
        <v>451840.95</v>
      </c>
      <c r="D59" s="8">
        <v>162817.44</v>
      </c>
      <c r="E59" s="9">
        <v>0.36034237268667202</v>
      </c>
      <c r="F59" s="10" t="s">
        <v>17</v>
      </c>
      <c r="G59" s="10" t="s">
        <v>17</v>
      </c>
    </row>
    <row r="60" spans="1:7" x14ac:dyDescent="0.25">
      <c r="A60" s="6" t="s">
        <v>76</v>
      </c>
      <c r="B60" s="7" t="s">
        <v>250</v>
      </c>
      <c r="C60" s="8">
        <v>439437.6</v>
      </c>
      <c r="D60" s="8">
        <v>220091.46</v>
      </c>
      <c r="E60" s="9">
        <v>0.50084803849283699</v>
      </c>
      <c r="F60" s="10" t="s">
        <v>17</v>
      </c>
      <c r="G60" s="10" t="s">
        <v>17</v>
      </c>
    </row>
    <row r="61" spans="1:7" x14ac:dyDescent="0.25">
      <c r="A61" s="6" t="s">
        <v>77</v>
      </c>
      <c r="B61" s="7" t="s">
        <v>223</v>
      </c>
      <c r="C61" s="8">
        <v>426250.2</v>
      </c>
      <c r="D61" s="8">
        <v>57200.74</v>
      </c>
      <c r="E61" s="9">
        <v>0.13419522149197799</v>
      </c>
      <c r="F61" s="10" t="s">
        <v>17</v>
      </c>
      <c r="G61" s="10" t="s">
        <v>17</v>
      </c>
    </row>
    <row r="62" spans="1:7" x14ac:dyDescent="0.25">
      <c r="A62" s="6" t="s">
        <v>78</v>
      </c>
      <c r="B62" s="7" t="s">
        <v>214</v>
      </c>
      <c r="C62" s="8">
        <v>405506.64</v>
      </c>
      <c r="D62" s="8">
        <v>19167.599999999999</v>
      </c>
      <c r="E62" s="9">
        <v>4.7268276544127602E-2</v>
      </c>
      <c r="F62" s="10" t="s">
        <v>17</v>
      </c>
      <c r="G62" s="10" t="s">
        <v>17</v>
      </c>
    </row>
    <row r="63" spans="1:7" x14ac:dyDescent="0.25">
      <c r="A63" s="6" t="s">
        <v>79</v>
      </c>
      <c r="B63" s="7" t="s">
        <v>211</v>
      </c>
      <c r="C63" s="8">
        <v>402712.12</v>
      </c>
      <c r="D63" s="8">
        <v>62052</v>
      </c>
      <c r="E63" s="9">
        <v>0.154085255740503</v>
      </c>
      <c r="F63" s="10" t="s">
        <v>17</v>
      </c>
      <c r="G63" s="10" t="s">
        <v>17</v>
      </c>
    </row>
    <row r="64" spans="1:7" x14ac:dyDescent="0.25">
      <c r="A64" s="6" t="s">
        <v>80</v>
      </c>
      <c r="B64" s="7" t="s">
        <v>304</v>
      </c>
      <c r="C64" s="8">
        <v>402331.65</v>
      </c>
      <c r="D64" s="8">
        <v>79023.199999999997</v>
      </c>
      <c r="E64" s="9">
        <v>0.19641308358415299</v>
      </c>
      <c r="F64" s="10" t="s">
        <v>17</v>
      </c>
      <c r="G64" s="10" t="s">
        <v>17</v>
      </c>
    </row>
    <row r="65" spans="1:7" x14ac:dyDescent="0.25">
      <c r="A65" s="6" t="s">
        <v>81</v>
      </c>
      <c r="B65" s="7" t="s">
        <v>209</v>
      </c>
      <c r="C65" s="8">
        <v>398129.91</v>
      </c>
      <c r="D65" s="8">
        <v>67929.81</v>
      </c>
      <c r="E65" s="9">
        <v>0.17062222227915499</v>
      </c>
      <c r="F65" s="10" t="s">
        <v>17</v>
      </c>
      <c r="G65" s="10" t="s">
        <v>17</v>
      </c>
    </row>
    <row r="66" spans="1:7" x14ac:dyDescent="0.25">
      <c r="A66" s="6" t="s">
        <v>82</v>
      </c>
      <c r="B66" s="7" t="s">
        <v>212</v>
      </c>
      <c r="C66" s="8">
        <v>394291.59</v>
      </c>
      <c r="D66" s="8">
        <v>75154.649999999994</v>
      </c>
      <c r="E66" s="9">
        <v>0.190606779109846</v>
      </c>
      <c r="F66" s="10" t="s">
        <v>17</v>
      </c>
      <c r="G66" s="10" t="s">
        <v>17</v>
      </c>
    </row>
    <row r="67" spans="1:7" x14ac:dyDescent="0.25">
      <c r="A67" s="6" t="s">
        <v>83</v>
      </c>
      <c r="B67" s="7" t="s">
        <v>210</v>
      </c>
      <c r="C67" s="8">
        <v>373688.02100000001</v>
      </c>
      <c r="D67" s="8">
        <v>71528.41</v>
      </c>
      <c r="E67" s="9">
        <v>0.19141210309227399</v>
      </c>
      <c r="F67" s="10" t="s">
        <v>17</v>
      </c>
      <c r="G67" s="10" t="s">
        <v>17</v>
      </c>
    </row>
    <row r="68" spans="1:7" x14ac:dyDescent="0.25">
      <c r="A68" s="6" t="s">
        <v>84</v>
      </c>
      <c r="B68" s="7" t="s">
        <v>218</v>
      </c>
      <c r="C68" s="8">
        <v>367251.44</v>
      </c>
      <c r="D68" s="8">
        <v>54067.68</v>
      </c>
      <c r="E68" s="9">
        <v>0.14722251327319499</v>
      </c>
      <c r="F68" s="10" t="s">
        <v>17</v>
      </c>
      <c r="G68" s="10" t="s">
        <v>17</v>
      </c>
    </row>
    <row r="69" spans="1:7" x14ac:dyDescent="0.25">
      <c r="A69" s="6" t="s">
        <v>85</v>
      </c>
      <c r="B69" s="7" t="s">
        <v>220</v>
      </c>
      <c r="C69" s="8">
        <v>357372.82</v>
      </c>
      <c r="D69" s="8">
        <v>64364.02</v>
      </c>
      <c r="E69" s="9">
        <v>0.18010328821313301</v>
      </c>
      <c r="F69" s="10" t="s">
        <v>17</v>
      </c>
      <c r="G69" s="10" t="s">
        <v>17</v>
      </c>
    </row>
    <row r="70" spans="1:7" x14ac:dyDescent="0.25">
      <c r="A70" s="6" t="s">
        <v>86</v>
      </c>
      <c r="B70" s="7" t="s">
        <v>222</v>
      </c>
      <c r="C70" s="8">
        <v>350952.98</v>
      </c>
      <c r="D70" s="8">
        <v>41499.72</v>
      </c>
      <c r="E70" s="9">
        <v>0.11824866111693901</v>
      </c>
      <c r="F70" s="10" t="s">
        <v>17</v>
      </c>
      <c r="G70" s="10" t="s">
        <v>17</v>
      </c>
    </row>
    <row r="71" spans="1:7" x14ac:dyDescent="0.25">
      <c r="A71" s="6" t="s">
        <v>87</v>
      </c>
      <c r="B71" s="7" t="s">
        <v>217</v>
      </c>
      <c r="C71" s="8">
        <v>339172.11</v>
      </c>
      <c r="D71" s="8">
        <v>51019.98</v>
      </c>
      <c r="E71" s="9">
        <v>0.150425045266841</v>
      </c>
      <c r="F71" s="10" t="s">
        <v>15</v>
      </c>
      <c r="G71" s="11">
        <f>(D71 / F71)</f>
        <v>51.019980000000004</v>
      </c>
    </row>
    <row r="72" spans="1:7" x14ac:dyDescent="0.25">
      <c r="A72" s="6" t="s">
        <v>88</v>
      </c>
      <c r="B72" s="7" t="s">
        <v>226</v>
      </c>
      <c r="C72" s="8">
        <v>318238.28000000003</v>
      </c>
      <c r="D72" s="8">
        <v>20571.72</v>
      </c>
      <c r="E72" s="9">
        <v>6.4642506237778799E-2</v>
      </c>
      <c r="F72" s="10" t="s">
        <v>17</v>
      </c>
      <c r="G72" s="10" t="s">
        <v>17</v>
      </c>
    </row>
    <row r="73" spans="1:7" x14ac:dyDescent="0.25">
      <c r="A73" s="6" t="s">
        <v>89</v>
      </c>
      <c r="B73" s="7" t="s">
        <v>216</v>
      </c>
      <c r="C73" s="8">
        <v>317614.34000000003</v>
      </c>
      <c r="D73" s="8">
        <v>167966.4</v>
      </c>
      <c r="E73" s="9">
        <v>0.52883758334085296</v>
      </c>
      <c r="F73" s="10" t="s">
        <v>17</v>
      </c>
      <c r="G73" s="10" t="s">
        <v>17</v>
      </c>
    </row>
    <row r="74" spans="1:7" x14ac:dyDescent="0.25">
      <c r="A74" s="6" t="s">
        <v>90</v>
      </c>
      <c r="B74" s="7" t="s">
        <v>227</v>
      </c>
      <c r="C74" s="8">
        <v>315048.59999999998</v>
      </c>
      <c r="D74" s="8">
        <v>27703.24</v>
      </c>
      <c r="E74" s="9">
        <v>8.7933226810085793E-2</v>
      </c>
      <c r="F74" s="10" t="s">
        <v>17</v>
      </c>
      <c r="G74" s="10" t="s">
        <v>17</v>
      </c>
    </row>
    <row r="75" spans="1:7" x14ac:dyDescent="0.25">
      <c r="A75" s="6" t="s">
        <v>91</v>
      </c>
      <c r="B75" s="7" t="s">
        <v>303</v>
      </c>
      <c r="C75" s="8">
        <v>307581.78999999998</v>
      </c>
      <c r="D75" s="8">
        <v>17939.97</v>
      </c>
      <c r="E75" s="9">
        <v>5.8325852125381002E-2</v>
      </c>
      <c r="F75" s="10" t="s">
        <v>17</v>
      </c>
      <c r="G75" s="10" t="s">
        <v>17</v>
      </c>
    </row>
    <row r="76" spans="1:7" x14ac:dyDescent="0.25">
      <c r="A76" s="6" t="s">
        <v>92</v>
      </c>
      <c r="B76" s="7" t="s">
        <v>224</v>
      </c>
      <c r="C76" s="8">
        <v>301337.46999999997</v>
      </c>
      <c r="D76" s="8">
        <v>59632.92</v>
      </c>
      <c r="E76" s="9">
        <v>0.19789414174082001</v>
      </c>
      <c r="F76" s="10" t="s">
        <v>17</v>
      </c>
      <c r="G76" s="10" t="s">
        <v>17</v>
      </c>
    </row>
    <row r="77" spans="1:7" x14ac:dyDescent="0.25">
      <c r="A77" s="6" t="s">
        <v>93</v>
      </c>
      <c r="B77" s="7" t="s">
        <v>228</v>
      </c>
      <c r="C77" s="8">
        <v>291054.39</v>
      </c>
      <c r="D77" s="8">
        <v>14642.02</v>
      </c>
      <c r="E77" s="9">
        <v>5.03068172240934E-2</v>
      </c>
      <c r="F77" s="10" t="s">
        <v>17</v>
      </c>
      <c r="G77" s="10" t="s">
        <v>17</v>
      </c>
    </row>
    <row r="78" spans="1:7" x14ac:dyDescent="0.25">
      <c r="A78" s="6" t="s">
        <v>94</v>
      </c>
      <c r="B78" s="7" t="s">
        <v>229</v>
      </c>
      <c r="C78" s="8">
        <v>284321.73</v>
      </c>
      <c r="D78" s="8">
        <v>28464.1</v>
      </c>
      <c r="E78" s="9">
        <v>0.10011229180407701</v>
      </c>
      <c r="F78" s="10" t="s">
        <v>17</v>
      </c>
      <c r="G78" s="10" t="s">
        <v>17</v>
      </c>
    </row>
    <row r="79" spans="1:7" x14ac:dyDescent="0.25">
      <c r="A79" s="6" t="s">
        <v>95</v>
      </c>
      <c r="B79" s="7" t="s">
        <v>254</v>
      </c>
      <c r="C79" s="8">
        <v>277925.93</v>
      </c>
      <c r="D79" s="8">
        <v>42360.81</v>
      </c>
      <c r="E79" s="9">
        <v>0.15241762436487999</v>
      </c>
      <c r="F79" s="10" t="s">
        <v>17</v>
      </c>
      <c r="G79" s="10" t="s">
        <v>17</v>
      </c>
    </row>
    <row r="80" spans="1:7" x14ac:dyDescent="0.25">
      <c r="A80" s="6" t="s">
        <v>96</v>
      </c>
      <c r="B80" s="7" t="s">
        <v>232</v>
      </c>
      <c r="C80" s="8">
        <v>274738.53000000003</v>
      </c>
      <c r="D80" s="8">
        <v>13074.25</v>
      </c>
      <c r="E80" s="9">
        <v>4.7587973918328801E-2</v>
      </c>
      <c r="F80" s="10" t="s">
        <v>17</v>
      </c>
      <c r="G80" s="10" t="s">
        <v>17</v>
      </c>
    </row>
    <row r="81" spans="1:7" x14ac:dyDescent="0.25">
      <c r="A81" s="6" t="s">
        <v>97</v>
      </c>
      <c r="B81" s="7" t="s">
        <v>231</v>
      </c>
      <c r="C81" s="8">
        <v>271723.78000000003</v>
      </c>
      <c r="D81" s="8">
        <v>22706.69</v>
      </c>
      <c r="E81" s="9">
        <v>8.3565339772617597E-2</v>
      </c>
      <c r="F81" s="10" t="s">
        <v>17</v>
      </c>
      <c r="G81" s="10" t="s">
        <v>17</v>
      </c>
    </row>
    <row r="82" spans="1:7" x14ac:dyDescent="0.25">
      <c r="A82" s="6" t="s">
        <v>98</v>
      </c>
      <c r="B82" s="7" t="s">
        <v>234</v>
      </c>
      <c r="C82" s="8">
        <v>261471.09</v>
      </c>
      <c r="D82" s="8">
        <v>25526.33</v>
      </c>
      <c r="E82" s="9">
        <v>9.7625821653935005E-2</v>
      </c>
      <c r="F82" s="10" t="s">
        <v>17</v>
      </c>
      <c r="G82" s="10" t="s">
        <v>17</v>
      </c>
    </row>
    <row r="83" spans="1:7" x14ac:dyDescent="0.25">
      <c r="A83" s="6" t="s">
        <v>99</v>
      </c>
      <c r="B83" s="7" t="s">
        <v>233</v>
      </c>
      <c r="C83" s="8">
        <v>253581.22</v>
      </c>
      <c r="D83" s="8">
        <v>47247.97</v>
      </c>
      <c r="E83" s="9">
        <v>0.18632282784979101</v>
      </c>
      <c r="F83" s="10" t="s">
        <v>17</v>
      </c>
      <c r="G83" s="10" t="s">
        <v>17</v>
      </c>
    </row>
    <row r="84" spans="1:7" x14ac:dyDescent="0.25">
      <c r="A84" s="12" t="s">
        <v>100</v>
      </c>
      <c r="B84" s="13" t="s">
        <v>225</v>
      </c>
      <c r="C84" s="14">
        <v>246565.35</v>
      </c>
      <c r="D84" s="14">
        <v>47312.81</v>
      </c>
      <c r="E84" s="15">
        <v>0.191887505685612</v>
      </c>
      <c r="F84" s="16" t="s">
        <v>12</v>
      </c>
      <c r="G84" s="17">
        <f>(D84 / F84)</f>
        <v>10.513957777777778</v>
      </c>
    </row>
    <row r="85" spans="1:7" x14ac:dyDescent="0.25">
      <c r="A85" s="6" t="s">
        <v>101</v>
      </c>
      <c r="B85" s="7" t="s">
        <v>235</v>
      </c>
      <c r="C85" s="8">
        <v>235069.59</v>
      </c>
      <c r="D85" s="8">
        <v>25483.22</v>
      </c>
      <c r="E85" s="9">
        <v>0.108407131692364</v>
      </c>
      <c r="F85" s="10" t="s">
        <v>17</v>
      </c>
      <c r="G85" s="10" t="s">
        <v>17</v>
      </c>
    </row>
    <row r="86" spans="1:7" x14ac:dyDescent="0.25">
      <c r="A86" s="6" t="s">
        <v>102</v>
      </c>
      <c r="B86" s="7" t="s">
        <v>236</v>
      </c>
      <c r="C86" s="8">
        <v>224371.62</v>
      </c>
      <c r="D86" s="8">
        <v>73904.289999999994</v>
      </c>
      <c r="E86" s="9">
        <v>0.32938341310723701</v>
      </c>
      <c r="F86" s="10" t="s">
        <v>17</v>
      </c>
      <c r="G86" s="10" t="s">
        <v>17</v>
      </c>
    </row>
    <row r="87" spans="1:7" x14ac:dyDescent="0.25">
      <c r="A87" s="6" t="s">
        <v>103</v>
      </c>
      <c r="B87" s="7" t="s">
        <v>305</v>
      </c>
      <c r="C87" s="8">
        <v>214493.86</v>
      </c>
      <c r="D87" s="8">
        <v>160784.04999999999</v>
      </c>
      <c r="E87" s="9">
        <v>0.74959744768451697</v>
      </c>
      <c r="F87" s="10" t="s">
        <v>17</v>
      </c>
      <c r="G87" s="10" t="s">
        <v>17</v>
      </c>
    </row>
    <row r="88" spans="1:7" x14ac:dyDescent="0.25">
      <c r="A88" s="12" t="s">
        <v>104</v>
      </c>
      <c r="B88" s="13" t="s">
        <v>230</v>
      </c>
      <c r="C88" s="14">
        <v>204244.78</v>
      </c>
      <c r="D88" s="14">
        <v>47563.53</v>
      </c>
      <c r="E88" s="15">
        <v>0.232875131496629</v>
      </c>
      <c r="F88" s="16" t="s">
        <v>292</v>
      </c>
      <c r="G88" s="17">
        <f>(D88 / F88)</f>
        <v>12.855008108108107</v>
      </c>
    </row>
    <row r="89" spans="1:7" x14ac:dyDescent="0.25">
      <c r="A89" s="6" t="s">
        <v>105</v>
      </c>
      <c r="B89" s="7" t="s">
        <v>238</v>
      </c>
      <c r="C89" s="8">
        <v>196694.38</v>
      </c>
      <c r="D89" s="8">
        <v>12274.85</v>
      </c>
      <c r="E89" s="9">
        <v>6.2405697610679101E-2</v>
      </c>
      <c r="F89" s="10" t="s">
        <v>17</v>
      </c>
      <c r="G89" s="10" t="s">
        <v>17</v>
      </c>
    </row>
    <row r="90" spans="1:7" x14ac:dyDescent="0.25">
      <c r="A90" s="6" t="s">
        <v>106</v>
      </c>
      <c r="B90" s="7" t="s">
        <v>239</v>
      </c>
      <c r="C90" s="8">
        <v>187781.05</v>
      </c>
      <c r="D90" s="8">
        <v>160264.82</v>
      </c>
      <c r="E90" s="9">
        <v>0.85346641740473805</v>
      </c>
      <c r="F90" s="10" t="s">
        <v>17</v>
      </c>
      <c r="G90" s="10" t="s">
        <v>17</v>
      </c>
    </row>
    <row r="91" spans="1:7" x14ac:dyDescent="0.25">
      <c r="A91" s="6" t="s">
        <v>107</v>
      </c>
      <c r="B91" s="7" t="s">
        <v>275</v>
      </c>
      <c r="C91" s="8">
        <v>183365.04</v>
      </c>
      <c r="D91" s="8">
        <v>20125.830000000002</v>
      </c>
      <c r="E91" s="9">
        <v>0.109758272351153</v>
      </c>
      <c r="F91" s="10" t="s">
        <v>17</v>
      </c>
      <c r="G91" s="10" t="s">
        <v>17</v>
      </c>
    </row>
    <row r="92" spans="1:7" x14ac:dyDescent="0.25">
      <c r="A92" s="6" t="s">
        <v>108</v>
      </c>
      <c r="B92" s="7" t="s">
        <v>240</v>
      </c>
      <c r="C92" s="8">
        <v>158808.04</v>
      </c>
      <c r="D92" s="8">
        <v>12123.28</v>
      </c>
      <c r="E92" s="9">
        <v>7.6339208014909093E-2</v>
      </c>
      <c r="F92" s="10" t="s">
        <v>17</v>
      </c>
      <c r="G92" s="10" t="s">
        <v>17</v>
      </c>
    </row>
    <row r="93" spans="1:7" x14ac:dyDescent="0.25">
      <c r="A93" s="6" t="s">
        <v>109</v>
      </c>
      <c r="B93" s="7" t="s">
        <v>276</v>
      </c>
      <c r="C93" s="8">
        <v>152737.01999999999</v>
      </c>
      <c r="D93" s="8">
        <v>19500.740000000002</v>
      </c>
      <c r="E93" s="9">
        <v>0.12767526824865399</v>
      </c>
      <c r="F93" s="10" t="s">
        <v>17</v>
      </c>
      <c r="G93" s="10" t="s">
        <v>17</v>
      </c>
    </row>
    <row r="94" spans="1:7" x14ac:dyDescent="0.25">
      <c r="A94" s="6" t="s">
        <v>110</v>
      </c>
      <c r="B94" s="7" t="s">
        <v>307</v>
      </c>
      <c r="C94" s="8">
        <v>151089.85</v>
      </c>
      <c r="D94" s="8">
        <v>108851.83</v>
      </c>
      <c r="E94" s="9">
        <v>0.72044435810876795</v>
      </c>
      <c r="F94" s="10" t="s">
        <v>17</v>
      </c>
      <c r="G94" s="10" t="s">
        <v>17</v>
      </c>
    </row>
    <row r="95" spans="1:7" x14ac:dyDescent="0.25">
      <c r="A95" s="6" t="s">
        <v>111</v>
      </c>
      <c r="B95" s="7" t="s">
        <v>243</v>
      </c>
      <c r="C95" s="8">
        <v>148565.04999999999</v>
      </c>
      <c r="D95" s="8">
        <v>11071.48</v>
      </c>
      <c r="E95" s="9">
        <v>7.4522776386505493E-2</v>
      </c>
      <c r="F95" s="10" t="s">
        <v>17</v>
      </c>
      <c r="G95" s="10" t="s">
        <v>17</v>
      </c>
    </row>
    <row r="96" spans="1:7" x14ac:dyDescent="0.25">
      <c r="A96" s="6" t="s">
        <v>112</v>
      </c>
      <c r="B96" s="7" t="s">
        <v>241</v>
      </c>
      <c r="C96" s="8">
        <v>143055.66</v>
      </c>
      <c r="D96" s="8">
        <v>18948.39</v>
      </c>
      <c r="E96" s="9">
        <v>0.13245466834377601</v>
      </c>
      <c r="F96" s="10" t="s">
        <v>16</v>
      </c>
      <c r="G96" s="11">
        <f>(D96 / F96)</f>
        <v>52.928463687150838</v>
      </c>
    </row>
    <row r="97" spans="1:7" x14ac:dyDescent="0.25">
      <c r="A97" s="6" t="s">
        <v>113</v>
      </c>
      <c r="B97" s="7" t="s">
        <v>244</v>
      </c>
      <c r="C97" s="8">
        <v>140344.24</v>
      </c>
      <c r="D97" s="8">
        <v>6028.75</v>
      </c>
      <c r="E97" s="9">
        <v>4.2956875180627303E-2</v>
      </c>
      <c r="F97" s="10" t="s">
        <v>17</v>
      </c>
      <c r="G97" s="10" t="s">
        <v>17</v>
      </c>
    </row>
    <row r="98" spans="1:7" x14ac:dyDescent="0.25">
      <c r="A98" s="6" t="s">
        <v>114</v>
      </c>
      <c r="B98" s="7" t="s">
        <v>320</v>
      </c>
      <c r="C98" s="8">
        <v>134463.62</v>
      </c>
      <c r="D98" s="8">
        <v>134463.62</v>
      </c>
      <c r="E98" s="9">
        <v>1</v>
      </c>
      <c r="F98" s="10" t="s">
        <v>17</v>
      </c>
      <c r="G98" s="10" t="s">
        <v>17</v>
      </c>
    </row>
    <row r="99" spans="1:7" x14ac:dyDescent="0.25">
      <c r="A99" s="6" t="s">
        <v>115</v>
      </c>
      <c r="B99" s="7" t="s">
        <v>242</v>
      </c>
      <c r="C99" s="8">
        <v>132466.92000000001</v>
      </c>
      <c r="D99" s="8">
        <v>48176.18</v>
      </c>
      <c r="E99" s="9">
        <v>0.36368460895746701</v>
      </c>
      <c r="F99" s="10" t="s">
        <v>17</v>
      </c>
      <c r="G99" s="10" t="s">
        <v>17</v>
      </c>
    </row>
    <row r="100" spans="1:7" x14ac:dyDescent="0.25">
      <c r="A100" s="6" t="s">
        <v>116</v>
      </c>
      <c r="B100" s="7" t="s">
        <v>246</v>
      </c>
      <c r="C100" s="8">
        <v>132314.89000000001</v>
      </c>
      <c r="D100" s="8">
        <v>9523.59</v>
      </c>
      <c r="E100" s="9">
        <v>7.1976706476497093E-2</v>
      </c>
      <c r="F100" s="10" t="s">
        <v>17</v>
      </c>
      <c r="G100" s="10" t="s">
        <v>17</v>
      </c>
    </row>
    <row r="101" spans="1:7" x14ac:dyDescent="0.25">
      <c r="A101" s="6" t="s">
        <v>117</v>
      </c>
      <c r="B101" s="7" t="s">
        <v>245</v>
      </c>
      <c r="C101" s="8">
        <v>124973.21</v>
      </c>
      <c r="D101" s="8">
        <v>8442.65</v>
      </c>
      <c r="E101" s="9">
        <v>6.7555678533023203E-2</v>
      </c>
      <c r="F101" s="10" t="s">
        <v>17</v>
      </c>
      <c r="G101" s="10" t="s">
        <v>17</v>
      </c>
    </row>
    <row r="102" spans="1:7" x14ac:dyDescent="0.25">
      <c r="A102" s="6" t="s">
        <v>118</v>
      </c>
      <c r="B102" s="7" t="s">
        <v>306</v>
      </c>
      <c r="C102" s="8">
        <v>124275.05</v>
      </c>
      <c r="D102" s="8">
        <v>12069.74</v>
      </c>
      <c r="E102" s="9">
        <v>9.7121184018835599E-2</v>
      </c>
      <c r="F102" s="10" t="s">
        <v>17</v>
      </c>
      <c r="G102" s="10" t="s">
        <v>17</v>
      </c>
    </row>
    <row r="103" spans="1:7" x14ac:dyDescent="0.25">
      <c r="A103" s="6" t="s">
        <v>119</v>
      </c>
      <c r="B103" s="7" t="s">
        <v>247</v>
      </c>
      <c r="C103" s="8">
        <v>124139.36</v>
      </c>
      <c r="D103" s="8">
        <v>20512.46</v>
      </c>
      <c r="E103" s="9">
        <v>0.16523735904551101</v>
      </c>
      <c r="F103" s="10" t="s">
        <v>17</v>
      </c>
      <c r="G103" s="10" t="s">
        <v>17</v>
      </c>
    </row>
    <row r="104" spans="1:7" x14ac:dyDescent="0.25">
      <c r="A104" s="6" t="s">
        <v>120</v>
      </c>
      <c r="B104" s="7" t="s">
        <v>295</v>
      </c>
      <c r="C104" s="8">
        <v>109964.7</v>
      </c>
      <c r="D104" s="8">
        <v>12125.86</v>
      </c>
      <c r="E104" s="9">
        <v>0.110270477707846</v>
      </c>
      <c r="F104" s="10" t="s">
        <v>17</v>
      </c>
      <c r="G104" s="10" t="s">
        <v>17</v>
      </c>
    </row>
    <row r="105" spans="1:7" x14ac:dyDescent="0.25">
      <c r="A105" s="6" t="s">
        <v>121</v>
      </c>
      <c r="B105" s="7" t="s">
        <v>248</v>
      </c>
      <c r="C105" s="8">
        <v>108512.15</v>
      </c>
      <c r="D105" s="8">
        <v>4190.75</v>
      </c>
      <c r="E105" s="9">
        <v>3.8620099223911797E-2</v>
      </c>
      <c r="F105" s="10" t="s">
        <v>17</v>
      </c>
      <c r="G105" s="10" t="s">
        <v>17</v>
      </c>
    </row>
    <row r="106" spans="1:7" x14ac:dyDescent="0.25">
      <c r="A106" s="6" t="s">
        <v>122</v>
      </c>
      <c r="B106" s="7" t="s">
        <v>249</v>
      </c>
      <c r="C106" s="8">
        <v>100226.72</v>
      </c>
      <c r="D106" s="8">
        <v>13387.25</v>
      </c>
      <c r="E106" s="9">
        <v>0.13356967084226601</v>
      </c>
      <c r="F106" s="10" t="s">
        <v>17</v>
      </c>
      <c r="G106" s="10" t="s">
        <v>17</v>
      </c>
    </row>
    <row r="107" spans="1:7" x14ac:dyDescent="0.25">
      <c r="A107" s="6" t="s">
        <v>123</v>
      </c>
      <c r="B107" s="7" t="s">
        <v>309</v>
      </c>
      <c r="C107" s="8">
        <v>95418.37</v>
      </c>
      <c r="D107" s="8">
        <v>12430.28</v>
      </c>
      <c r="E107" s="9">
        <v>0.13027135131317</v>
      </c>
      <c r="F107" s="10" t="s">
        <v>17</v>
      </c>
      <c r="G107" s="10" t="s">
        <v>17</v>
      </c>
    </row>
    <row r="108" spans="1:7" x14ac:dyDescent="0.25">
      <c r="A108" s="6" t="s">
        <v>124</v>
      </c>
      <c r="B108" s="7" t="s">
        <v>317</v>
      </c>
      <c r="C108" s="8">
        <v>87127.83</v>
      </c>
      <c r="D108" s="8">
        <v>596.53</v>
      </c>
      <c r="E108" s="9">
        <v>6.8466068763562704E-3</v>
      </c>
      <c r="F108" s="10" t="s">
        <v>17</v>
      </c>
      <c r="G108" s="10" t="s">
        <v>17</v>
      </c>
    </row>
    <row r="109" spans="1:7" x14ac:dyDescent="0.25">
      <c r="A109" s="6" t="s">
        <v>125</v>
      </c>
      <c r="B109" s="7" t="s">
        <v>253</v>
      </c>
      <c r="C109" s="8">
        <v>81721.240000000005</v>
      </c>
      <c r="D109" s="8">
        <v>6066.44</v>
      </c>
      <c r="E109" s="9">
        <v>7.4233332729655099E-2</v>
      </c>
      <c r="F109" s="10" t="s">
        <v>17</v>
      </c>
      <c r="G109" s="10" t="s">
        <v>17</v>
      </c>
    </row>
    <row r="110" spans="1:7" x14ac:dyDescent="0.25">
      <c r="A110" s="6" t="s">
        <v>126</v>
      </c>
      <c r="B110" s="7" t="s">
        <v>230</v>
      </c>
      <c r="C110" s="8">
        <v>72574.34</v>
      </c>
      <c r="D110" s="8">
        <v>8533.36</v>
      </c>
      <c r="E110" s="9">
        <v>0.117580952165738</v>
      </c>
      <c r="F110" s="10" t="s">
        <v>17</v>
      </c>
      <c r="G110" s="10" t="s">
        <v>17</v>
      </c>
    </row>
    <row r="111" spans="1:7" x14ac:dyDescent="0.25">
      <c r="A111" s="6" t="s">
        <v>127</v>
      </c>
      <c r="B111" s="7" t="s">
        <v>321</v>
      </c>
      <c r="C111" s="8">
        <v>71058.28</v>
      </c>
      <c r="D111" s="8">
        <v>42678.47</v>
      </c>
      <c r="E111" s="9">
        <v>0.60061220170260199</v>
      </c>
      <c r="F111" s="10" t="s">
        <v>17</v>
      </c>
      <c r="G111" s="10" t="s">
        <v>17</v>
      </c>
    </row>
    <row r="112" spans="1:7" x14ac:dyDescent="0.25">
      <c r="A112" s="6" t="s">
        <v>128</v>
      </c>
      <c r="B112" s="7" t="s">
        <v>256</v>
      </c>
      <c r="C112" s="8">
        <v>70182.39</v>
      </c>
      <c r="D112" s="8">
        <v>4746.34</v>
      </c>
      <c r="E112" s="9">
        <v>6.7628645875411203E-2</v>
      </c>
      <c r="F112" s="10" t="s">
        <v>17</v>
      </c>
      <c r="G112" s="10" t="s">
        <v>17</v>
      </c>
    </row>
    <row r="113" spans="1:7" x14ac:dyDescent="0.25">
      <c r="A113" s="6" t="s">
        <v>129</v>
      </c>
      <c r="B113" s="7" t="s">
        <v>255</v>
      </c>
      <c r="C113" s="8">
        <v>69576.679999999993</v>
      </c>
      <c r="D113" s="8">
        <v>522.25</v>
      </c>
      <c r="E113" s="9">
        <v>7.5061069312304099E-3</v>
      </c>
      <c r="F113" s="10" t="s">
        <v>17</v>
      </c>
      <c r="G113" s="10" t="s">
        <v>17</v>
      </c>
    </row>
    <row r="114" spans="1:7" x14ac:dyDescent="0.25">
      <c r="A114" s="6" t="s">
        <v>130</v>
      </c>
      <c r="B114" s="7" t="s">
        <v>258</v>
      </c>
      <c r="C114" s="8">
        <v>64857.17</v>
      </c>
      <c r="D114" s="8">
        <v>4350.59</v>
      </c>
      <c r="E114" s="9">
        <v>6.7079553424856497E-2</v>
      </c>
      <c r="F114" s="10" t="s">
        <v>17</v>
      </c>
      <c r="G114" s="10" t="s">
        <v>17</v>
      </c>
    </row>
    <row r="115" spans="1:7" x14ac:dyDescent="0.25">
      <c r="A115" s="6" t="s">
        <v>131</v>
      </c>
      <c r="B115" s="7" t="s">
        <v>257</v>
      </c>
      <c r="C115" s="8">
        <v>54169.69</v>
      </c>
      <c r="D115" s="8">
        <v>1632.8</v>
      </c>
      <c r="E115" s="9">
        <v>3.0142317594950199E-2</v>
      </c>
      <c r="F115" s="10" t="s">
        <v>17</v>
      </c>
      <c r="G115" s="10" t="s">
        <v>17</v>
      </c>
    </row>
    <row r="116" spans="1:7" x14ac:dyDescent="0.25">
      <c r="A116" s="6" t="s">
        <v>132</v>
      </c>
      <c r="B116" s="7" t="s">
        <v>259</v>
      </c>
      <c r="C116" s="8">
        <v>52570.78</v>
      </c>
      <c r="D116" s="8">
        <v>3779.41</v>
      </c>
      <c r="E116" s="9">
        <v>7.1891838013436404E-2</v>
      </c>
      <c r="F116" s="10" t="s">
        <v>17</v>
      </c>
      <c r="G116" s="10" t="s">
        <v>17</v>
      </c>
    </row>
    <row r="117" spans="1:7" x14ac:dyDescent="0.25">
      <c r="A117" s="6" t="s">
        <v>133</v>
      </c>
      <c r="B117" s="7" t="s">
        <v>262</v>
      </c>
      <c r="C117" s="8">
        <v>49344.959999999999</v>
      </c>
      <c r="D117" s="8">
        <v>6356.93</v>
      </c>
      <c r="E117" s="9">
        <v>0.12882632795730301</v>
      </c>
      <c r="F117" s="10" t="s">
        <v>17</v>
      </c>
      <c r="G117" s="10" t="s">
        <v>17</v>
      </c>
    </row>
    <row r="118" spans="1:7" x14ac:dyDescent="0.25">
      <c r="A118" s="6" t="s">
        <v>134</v>
      </c>
      <c r="B118" s="7" t="s">
        <v>291</v>
      </c>
      <c r="C118" s="8">
        <v>48543.48</v>
      </c>
      <c r="D118" s="8">
        <v>7051.89</v>
      </c>
      <c r="E118" s="9">
        <v>0.14526956040234401</v>
      </c>
      <c r="F118" s="10" t="s">
        <v>17</v>
      </c>
      <c r="G118" s="10" t="s">
        <v>17</v>
      </c>
    </row>
    <row r="119" spans="1:7" x14ac:dyDescent="0.25">
      <c r="A119" s="6" t="s">
        <v>135</v>
      </c>
      <c r="B119" s="7" t="s">
        <v>260</v>
      </c>
      <c r="C119" s="8">
        <v>40663.51</v>
      </c>
      <c r="D119" s="8">
        <v>374.28</v>
      </c>
      <c r="E119" s="9">
        <v>9.2043210239352198E-3</v>
      </c>
      <c r="F119" s="10" t="s">
        <v>17</v>
      </c>
      <c r="G119" s="10" t="s">
        <v>17</v>
      </c>
    </row>
    <row r="120" spans="1:7" x14ac:dyDescent="0.25">
      <c r="A120" s="6" t="s">
        <v>136</v>
      </c>
      <c r="B120" s="7" t="s">
        <v>310</v>
      </c>
      <c r="C120" s="8">
        <v>40221.19</v>
      </c>
      <c r="D120" s="8">
        <v>8076.46</v>
      </c>
      <c r="E120" s="9">
        <v>0.20080112000664299</v>
      </c>
      <c r="F120" s="10" t="s">
        <v>17</v>
      </c>
      <c r="G120" s="10" t="s">
        <v>17</v>
      </c>
    </row>
    <row r="121" spans="1:7" x14ac:dyDescent="0.25">
      <c r="A121" s="6" t="s">
        <v>137</v>
      </c>
      <c r="B121" s="7" t="s">
        <v>283</v>
      </c>
      <c r="C121" s="8">
        <v>40021.879999999997</v>
      </c>
      <c r="D121" s="8">
        <v>509.96</v>
      </c>
      <c r="E121" s="9">
        <v>1.27420301095301E-2</v>
      </c>
      <c r="F121" s="10" t="s">
        <v>17</v>
      </c>
      <c r="G121" s="10" t="s">
        <v>17</v>
      </c>
    </row>
    <row r="122" spans="1:7" x14ac:dyDescent="0.25">
      <c r="A122" s="6" t="s">
        <v>138</v>
      </c>
      <c r="B122" s="7" t="s">
        <v>263</v>
      </c>
      <c r="C122" s="8">
        <v>36220</v>
      </c>
      <c r="D122" s="8">
        <v>1037.97</v>
      </c>
      <c r="E122" s="9">
        <v>2.8657371617890701E-2</v>
      </c>
      <c r="F122" s="10" t="s">
        <v>17</v>
      </c>
      <c r="G122" s="10" t="s">
        <v>17</v>
      </c>
    </row>
    <row r="123" spans="1:7" x14ac:dyDescent="0.25">
      <c r="A123" s="6" t="s">
        <v>139</v>
      </c>
      <c r="B123" s="7" t="s">
        <v>251</v>
      </c>
      <c r="C123" s="8">
        <v>35443.800000000003</v>
      </c>
      <c r="D123" s="8">
        <v>1965.27</v>
      </c>
      <c r="E123" s="9">
        <v>5.5447497164525301E-2</v>
      </c>
      <c r="F123" s="10" t="s">
        <v>17</v>
      </c>
      <c r="G123" s="10" t="s">
        <v>17</v>
      </c>
    </row>
    <row r="124" spans="1:7" x14ac:dyDescent="0.25">
      <c r="A124" s="6" t="s">
        <v>140</v>
      </c>
      <c r="B124" s="7" t="s">
        <v>266</v>
      </c>
      <c r="C124" s="8">
        <v>33872.61</v>
      </c>
      <c r="D124" s="8">
        <v>11665.78</v>
      </c>
      <c r="E124" s="9">
        <v>0.34440156811063599</v>
      </c>
      <c r="F124" s="10" t="s">
        <v>17</v>
      </c>
      <c r="G124" s="10" t="s">
        <v>17</v>
      </c>
    </row>
    <row r="125" spans="1:7" x14ac:dyDescent="0.25">
      <c r="A125" s="6" t="s">
        <v>141</v>
      </c>
      <c r="B125" s="7" t="s">
        <v>265</v>
      </c>
      <c r="C125" s="8">
        <v>31180.77</v>
      </c>
      <c r="D125" s="8">
        <v>4948.3900000000003</v>
      </c>
      <c r="E125" s="9">
        <v>0.15870005775995899</v>
      </c>
      <c r="F125" s="10" t="s">
        <v>17</v>
      </c>
      <c r="G125" s="10" t="s">
        <v>17</v>
      </c>
    </row>
    <row r="126" spans="1:7" x14ac:dyDescent="0.25">
      <c r="A126" s="6" t="s">
        <v>142</v>
      </c>
      <c r="B126" s="7" t="s">
        <v>264</v>
      </c>
      <c r="C126" s="8">
        <v>30212.87</v>
      </c>
      <c r="D126" s="8">
        <v>1334.88</v>
      </c>
      <c r="E126" s="9">
        <v>4.4182495737743598E-2</v>
      </c>
      <c r="F126" s="10" t="s">
        <v>17</v>
      </c>
      <c r="G126" s="10" t="s">
        <v>17</v>
      </c>
    </row>
    <row r="127" spans="1:7" x14ac:dyDescent="0.25">
      <c r="A127" s="6" t="s">
        <v>143</v>
      </c>
      <c r="B127" s="7" t="s">
        <v>311</v>
      </c>
      <c r="C127" s="8">
        <v>27290.49</v>
      </c>
      <c r="D127" s="8">
        <v>2404.2800000000002</v>
      </c>
      <c r="E127" s="9">
        <v>8.80995540937521E-2</v>
      </c>
      <c r="F127" s="10" t="s">
        <v>17</v>
      </c>
      <c r="G127" s="10" t="s">
        <v>17</v>
      </c>
    </row>
    <row r="128" spans="1:7" x14ac:dyDescent="0.25">
      <c r="A128" s="6" t="s">
        <v>144</v>
      </c>
      <c r="B128" s="7" t="s">
        <v>267</v>
      </c>
      <c r="C128" s="8">
        <v>17281.169999999998</v>
      </c>
      <c r="D128" s="8">
        <v>1257.6300000000001</v>
      </c>
      <c r="E128" s="9">
        <v>7.2774586442931805E-2</v>
      </c>
      <c r="F128" s="10" t="s">
        <v>17</v>
      </c>
      <c r="G128" s="10" t="s">
        <v>17</v>
      </c>
    </row>
    <row r="129" spans="1:7" x14ac:dyDescent="0.25">
      <c r="A129" s="6" t="s">
        <v>145</v>
      </c>
      <c r="B129" s="7" t="s">
        <v>268</v>
      </c>
      <c r="C129" s="8">
        <v>16843.189999999999</v>
      </c>
      <c r="D129" s="8">
        <v>889.39</v>
      </c>
      <c r="E129" s="9">
        <v>5.2804130333980702E-2</v>
      </c>
      <c r="F129" s="10" t="s">
        <v>17</v>
      </c>
      <c r="G129" s="10" t="s">
        <v>17</v>
      </c>
    </row>
    <row r="130" spans="1:7" x14ac:dyDescent="0.25">
      <c r="A130" s="6" t="s">
        <v>146</v>
      </c>
      <c r="B130" s="7" t="s">
        <v>270</v>
      </c>
      <c r="C130" s="8">
        <v>14367.76</v>
      </c>
      <c r="D130" s="8">
        <v>109.4</v>
      </c>
      <c r="E130" s="9">
        <v>7.6142697261090096E-3</v>
      </c>
      <c r="F130" s="10" t="s">
        <v>17</v>
      </c>
      <c r="G130" s="10" t="s">
        <v>17</v>
      </c>
    </row>
    <row r="131" spans="1:7" x14ac:dyDescent="0.25">
      <c r="A131" s="6" t="s">
        <v>147</v>
      </c>
      <c r="B131" s="7" t="s">
        <v>269</v>
      </c>
      <c r="C131" s="8">
        <v>14323.7</v>
      </c>
      <c r="D131" s="8">
        <v>1507.12</v>
      </c>
      <c r="E131" s="9">
        <v>0.105218623679636</v>
      </c>
      <c r="F131" s="10" t="s">
        <v>17</v>
      </c>
      <c r="G131" s="10" t="s">
        <v>17</v>
      </c>
    </row>
    <row r="132" spans="1:7" x14ac:dyDescent="0.25">
      <c r="A132" s="6" t="s">
        <v>148</v>
      </c>
      <c r="B132" s="7" t="s">
        <v>277</v>
      </c>
      <c r="C132" s="8">
        <v>13184.01</v>
      </c>
      <c r="D132" s="8">
        <v>789.63</v>
      </c>
      <c r="E132" s="9">
        <v>5.9893006755911103E-2</v>
      </c>
      <c r="F132" s="10" t="s">
        <v>17</v>
      </c>
      <c r="G132" s="10" t="s">
        <v>17</v>
      </c>
    </row>
    <row r="133" spans="1:7" x14ac:dyDescent="0.25">
      <c r="A133" s="6" t="s">
        <v>149</v>
      </c>
      <c r="B133" s="7" t="s">
        <v>286</v>
      </c>
      <c r="C133" s="8">
        <v>7612.67</v>
      </c>
      <c r="D133" s="8">
        <v>81.739999999999995</v>
      </c>
      <c r="E133" s="9">
        <v>1.0737362843785399E-2</v>
      </c>
      <c r="F133" s="10" t="s">
        <v>17</v>
      </c>
      <c r="G133" s="10" t="s">
        <v>17</v>
      </c>
    </row>
    <row r="134" spans="1:7" x14ac:dyDescent="0.25">
      <c r="A134" s="6" t="s">
        <v>150</v>
      </c>
      <c r="B134" s="7" t="s">
        <v>322</v>
      </c>
      <c r="C134" s="8">
        <v>3753.49</v>
      </c>
      <c r="D134" s="8">
        <v>37.25</v>
      </c>
      <c r="E134" s="9">
        <v>9.9240973067731605E-3</v>
      </c>
      <c r="F134" s="10" t="s">
        <v>17</v>
      </c>
      <c r="G134" s="10" t="s">
        <v>17</v>
      </c>
    </row>
    <row r="135" spans="1:7" x14ac:dyDescent="0.25">
      <c r="A135" s="6" t="s">
        <v>151</v>
      </c>
      <c r="B135" s="7" t="s">
        <v>312</v>
      </c>
      <c r="C135" s="8">
        <v>2494.6</v>
      </c>
      <c r="D135" s="8">
        <v>52.68</v>
      </c>
      <c r="E135" s="9">
        <v>2.1117614046340102E-2</v>
      </c>
      <c r="F135" s="10" t="s">
        <v>17</v>
      </c>
      <c r="G135" s="10" t="s">
        <v>17</v>
      </c>
    </row>
    <row r="136" spans="1:7" x14ac:dyDescent="0.25">
      <c r="A136" s="6" t="s">
        <v>152</v>
      </c>
      <c r="B136" s="7" t="s">
        <v>313</v>
      </c>
      <c r="C136" s="8">
        <v>1881.33</v>
      </c>
      <c r="D136" s="8">
        <v>282.60000000000002</v>
      </c>
      <c r="E136" s="9">
        <v>0.15021288131268801</v>
      </c>
      <c r="F136" s="10" t="s">
        <v>17</v>
      </c>
      <c r="G136" s="10" t="s">
        <v>17</v>
      </c>
    </row>
    <row r="137" spans="1:7" x14ac:dyDescent="0.25">
      <c r="A137" s="6" t="s">
        <v>153</v>
      </c>
      <c r="B137" s="7" t="s">
        <v>323</v>
      </c>
      <c r="C137" s="8">
        <v>1000.02</v>
      </c>
      <c r="D137" s="8">
        <v>1000.02</v>
      </c>
      <c r="E137" s="9">
        <v>1</v>
      </c>
      <c r="F137" s="10" t="s">
        <v>17</v>
      </c>
      <c r="G137" s="10" t="s">
        <v>17</v>
      </c>
    </row>
    <row r="138" spans="1:7" x14ac:dyDescent="0.25">
      <c r="A138" s="6" t="s">
        <v>154</v>
      </c>
      <c r="B138" s="7" t="s">
        <v>324</v>
      </c>
      <c r="C138" s="8">
        <v>517.32000000000005</v>
      </c>
      <c r="D138" s="8">
        <v>81.819999999999993</v>
      </c>
      <c r="E138" s="9">
        <v>0.15816129281682501</v>
      </c>
      <c r="F138" s="10" t="s">
        <v>17</v>
      </c>
      <c r="G138" s="10" t="s">
        <v>17</v>
      </c>
    </row>
    <row r="139" spans="1:7" x14ac:dyDescent="0.25">
      <c r="A139" s="6" t="s">
        <v>155</v>
      </c>
      <c r="B139" s="7" t="s">
        <v>318</v>
      </c>
      <c r="C139" s="8">
        <v>299.95</v>
      </c>
      <c r="D139" s="8">
        <v>299.95</v>
      </c>
      <c r="E139" s="9">
        <v>1</v>
      </c>
      <c r="F139" s="10" t="s">
        <v>17</v>
      </c>
      <c r="G139" s="10" t="s">
        <v>17</v>
      </c>
    </row>
    <row r="140" spans="1:7" x14ac:dyDescent="0.25">
      <c r="A140" s="6" t="s">
        <v>156</v>
      </c>
      <c r="B140" s="7" t="s">
        <v>319</v>
      </c>
      <c r="C140" s="8">
        <v>0</v>
      </c>
      <c r="D140" s="8">
        <v>0</v>
      </c>
      <c r="E140" s="9">
        <v>0</v>
      </c>
      <c r="F140" s="10" t="s">
        <v>17</v>
      </c>
      <c r="G140" s="10" t="s">
        <v>17</v>
      </c>
    </row>
    <row r="141" spans="1:7" x14ac:dyDescent="0.25">
      <c r="C141" s="8"/>
      <c r="D141" s="8"/>
      <c r="E141" s="9"/>
    </row>
    <row r="142" spans="1:7" x14ac:dyDescent="0.25">
      <c r="C142" s="8"/>
      <c r="D142" s="8"/>
      <c r="E142" s="9"/>
    </row>
    <row r="143" spans="1:7" x14ac:dyDescent="0.25">
      <c r="C143" s="8"/>
      <c r="D143" s="8"/>
      <c r="E143" s="9"/>
    </row>
    <row r="144" spans="1:7" x14ac:dyDescent="0.25">
      <c r="C144" s="8"/>
      <c r="D144" s="8" t="s">
        <v>298</v>
      </c>
      <c r="E144" s="9"/>
    </row>
    <row r="145" spans="1:7" ht="31.5" x14ac:dyDescent="0.25">
      <c r="A145" s="18"/>
      <c r="B145" s="19" t="s">
        <v>157</v>
      </c>
      <c r="C145" s="3" t="s">
        <v>158</v>
      </c>
      <c r="D145" s="3" t="s">
        <v>159</v>
      </c>
      <c r="E145" s="4" t="s">
        <v>160</v>
      </c>
      <c r="F145" s="5" t="s">
        <v>161</v>
      </c>
      <c r="G145" s="5" t="s">
        <v>162</v>
      </c>
    </row>
    <row r="146" spans="1:7" x14ac:dyDescent="0.25">
      <c r="A146" s="6" t="s">
        <v>18</v>
      </c>
      <c r="B146" s="7" t="s">
        <v>315</v>
      </c>
      <c r="C146" s="8">
        <v>3000329.6</v>
      </c>
      <c r="D146" s="8">
        <v>3000329.6</v>
      </c>
      <c r="E146" s="9">
        <v>1</v>
      </c>
      <c r="F146" s="10" t="s">
        <v>17</v>
      </c>
      <c r="G146" s="10" t="s">
        <v>17</v>
      </c>
    </row>
    <row r="147" spans="1:7" x14ac:dyDescent="0.25">
      <c r="A147" s="6" t="s">
        <v>19</v>
      </c>
      <c r="B147" s="7" t="s">
        <v>183</v>
      </c>
      <c r="C147" s="8">
        <v>1262265.8700000001</v>
      </c>
      <c r="D147" s="8">
        <v>202697.22</v>
      </c>
      <c r="E147" s="9">
        <v>0.16058203332393001</v>
      </c>
      <c r="F147" s="10" t="s">
        <v>17</v>
      </c>
      <c r="G147" s="10" t="s">
        <v>17</v>
      </c>
    </row>
    <row r="148" spans="1:7" x14ac:dyDescent="0.25">
      <c r="A148" s="6" t="s">
        <v>20</v>
      </c>
      <c r="B148" s="7" t="s">
        <v>165</v>
      </c>
      <c r="C148" s="8">
        <v>1126862.7</v>
      </c>
      <c r="D148" s="8">
        <v>1117478.24</v>
      </c>
      <c r="E148" s="9">
        <v>0.991672046647742</v>
      </c>
      <c r="F148" s="10" t="s">
        <v>17</v>
      </c>
      <c r="G148" s="10" t="s">
        <v>17</v>
      </c>
    </row>
    <row r="149" spans="1:7" x14ac:dyDescent="0.25">
      <c r="A149" s="6" t="s">
        <v>21</v>
      </c>
      <c r="B149" s="7" t="s">
        <v>244</v>
      </c>
      <c r="C149" s="8">
        <v>929880.88</v>
      </c>
      <c r="D149" s="8">
        <v>751.15</v>
      </c>
      <c r="E149" s="9">
        <v>8.0779163886023802E-4</v>
      </c>
      <c r="F149" s="10" t="s">
        <v>17</v>
      </c>
      <c r="G149" s="10" t="s">
        <v>17</v>
      </c>
    </row>
    <row r="150" spans="1:7" x14ac:dyDescent="0.25">
      <c r="A150" s="6" t="s">
        <v>22</v>
      </c>
      <c r="B150" s="7" t="s">
        <v>278</v>
      </c>
      <c r="C150" s="8">
        <v>718706.96</v>
      </c>
      <c r="D150" s="8">
        <v>291853.13</v>
      </c>
      <c r="E150" s="9">
        <v>0.40608084552291002</v>
      </c>
      <c r="F150" s="10" t="s">
        <v>17</v>
      </c>
      <c r="G150" s="10" t="s">
        <v>17</v>
      </c>
    </row>
    <row r="151" spans="1:7" x14ac:dyDescent="0.25">
      <c r="A151" s="6" t="s">
        <v>23</v>
      </c>
      <c r="B151" s="7" t="s">
        <v>325</v>
      </c>
      <c r="C151" s="8">
        <v>589922</v>
      </c>
      <c r="D151" s="8">
        <v>589922</v>
      </c>
      <c r="E151" s="9">
        <v>1</v>
      </c>
      <c r="F151" s="10" t="s">
        <v>17</v>
      </c>
      <c r="G151" s="10" t="s">
        <v>17</v>
      </c>
    </row>
    <row r="152" spans="1:7" x14ac:dyDescent="0.25">
      <c r="A152" s="6" t="s">
        <v>24</v>
      </c>
      <c r="B152" s="7" t="s">
        <v>182</v>
      </c>
      <c r="C152" s="8">
        <v>516673.13</v>
      </c>
      <c r="D152" s="8">
        <v>516673.13</v>
      </c>
      <c r="E152" s="9">
        <v>1</v>
      </c>
      <c r="F152" s="10" t="s">
        <v>17</v>
      </c>
      <c r="G152" s="10" t="s">
        <v>17</v>
      </c>
    </row>
    <row r="153" spans="1:7" x14ac:dyDescent="0.25">
      <c r="A153" s="6" t="s">
        <v>25</v>
      </c>
      <c r="B153" s="7" t="s">
        <v>189</v>
      </c>
      <c r="C153" s="8">
        <v>293540.15999999997</v>
      </c>
      <c r="D153" s="8">
        <v>293540.15999999997</v>
      </c>
      <c r="E153" s="9">
        <v>1</v>
      </c>
      <c r="F153" s="10" t="s">
        <v>17</v>
      </c>
      <c r="G153" s="10" t="s">
        <v>17</v>
      </c>
    </row>
    <row r="154" spans="1:7" x14ac:dyDescent="0.25">
      <c r="A154" s="6" t="s">
        <v>26</v>
      </c>
      <c r="B154" s="7" t="s">
        <v>280</v>
      </c>
      <c r="C154" s="8">
        <v>230679.99</v>
      </c>
      <c r="D154" s="8">
        <v>887.73</v>
      </c>
      <c r="E154" s="9">
        <v>3.8483181831246E-3</v>
      </c>
      <c r="F154" s="10" t="s">
        <v>17</v>
      </c>
      <c r="G154" s="10" t="s">
        <v>17</v>
      </c>
    </row>
    <row r="155" spans="1:7" x14ac:dyDescent="0.25">
      <c r="A155" s="6" t="s">
        <v>27</v>
      </c>
      <c r="B155" s="7" t="s">
        <v>173</v>
      </c>
      <c r="C155" s="8">
        <v>212330.96</v>
      </c>
      <c r="D155" s="8">
        <v>28541.66</v>
      </c>
      <c r="E155" s="9">
        <v>0.13442062335139399</v>
      </c>
      <c r="F155" s="10" t="s">
        <v>17</v>
      </c>
      <c r="G155" s="10" t="s">
        <v>17</v>
      </c>
    </row>
    <row r="156" spans="1:7" x14ac:dyDescent="0.25">
      <c r="A156" s="6" t="s">
        <v>28</v>
      </c>
      <c r="B156" s="7" t="s">
        <v>205</v>
      </c>
      <c r="C156" s="8">
        <v>205939.93</v>
      </c>
      <c r="D156" s="8">
        <v>23301.82</v>
      </c>
      <c r="E156" s="9">
        <v>0.11314862542684199</v>
      </c>
      <c r="F156" s="10" t="s">
        <v>17</v>
      </c>
      <c r="G156" s="10" t="s">
        <v>17</v>
      </c>
    </row>
    <row r="157" spans="1:7" x14ac:dyDescent="0.25">
      <c r="A157" s="6" t="s">
        <v>29</v>
      </c>
      <c r="B157" s="7" t="s">
        <v>186</v>
      </c>
      <c r="C157" s="8">
        <v>202257.15</v>
      </c>
      <c r="D157" s="8">
        <v>202257.15</v>
      </c>
      <c r="E157" s="9">
        <v>1</v>
      </c>
      <c r="F157" s="10" t="s">
        <v>17</v>
      </c>
      <c r="G157" s="10" t="s">
        <v>17</v>
      </c>
    </row>
    <row r="158" spans="1:7" x14ac:dyDescent="0.25">
      <c r="A158" s="6" t="s">
        <v>30</v>
      </c>
      <c r="B158" s="7" t="s">
        <v>224</v>
      </c>
      <c r="C158" s="8">
        <v>201401.3</v>
      </c>
      <c r="D158" s="8">
        <v>201401.3</v>
      </c>
      <c r="E158" s="9">
        <v>1</v>
      </c>
      <c r="F158" s="10" t="s">
        <v>17</v>
      </c>
      <c r="G158" s="10" t="s">
        <v>17</v>
      </c>
    </row>
    <row r="159" spans="1:7" x14ac:dyDescent="0.25">
      <c r="A159" s="6" t="s">
        <v>31</v>
      </c>
      <c r="B159" s="7" t="s">
        <v>195</v>
      </c>
      <c r="C159" s="8">
        <v>175837.19</v>
      </c>
      <c r="D159" s="8">
        <v>75860.490000000005</v>
      </c>
      <c r="E159" s="9">
        <v>0.43142460363475998</v>
      </c>
      <c r="F159" s="10" t="s">
        <v>17</v>
      </c>
      <c r="G159" s="10" t="s">
        <v>17</v>
      </c>
    </row>
    <row r="160" spans="1:7" x14ac:dyDescent="0.25">
      <c r="A160" s="6" t="s">
        <v>32</v>
      </c>
      <c r="B160" s="7" t="s">
        <v>180</v>
      </c>
      <c r="C160" s="8">
        <v>158376.74</v>
      </c>
      <c r="D160" s="8">
        <v>1251.25</v>
      </c>
      <c r="E160" s="9">
        <v>7.9004656870699606E-3</v>
      </c>
      <c r="F160" s="10" t="s">
        <v>17</v>
      </c>
      <c r="G160" s="10" t="s">
        <v>17</v>
      </c>
    </row>
    <row r="161" spans="1:7" x14ac:dyDescent="0.25">
      <c r="A161" s="6" t="s">
        <v>33</v>
      </c>
      <c r="B161" s="7" t="s">
        <v>163</v>
      </c>
      <c r="C161" s="8">
        <v>149821.98000000001</v>
      </c>
      <c r="D161" s="8">
        <v>50.14</v>
      </c>
      <c r="E161" s="9">
        <v>3.3466384571876598E-4</v>
      </c>
      <c r="F161" s="10" t="s">
        <v>17</v>
      </c>
      <c r="G161" s="10" t="s">
        <v>17</v>
      </c>
    </row>
    <row r="162" spans="1:7" x14ac:dyDescent="0.25">
      <c r="A162" s="6" t="s">
        <v>34</v>
      </c>
      <c r="B162" s="7" t="s">
        <v>211</v>
      </c>
      <c r="C162" s="8">
        <v>145083.99</v>
      </c>
      <c r="D162" s="8">
        <v>12166.11</v>
      </c>
      <c r="E162" s="9">
        <v>8.3855634243309704E-2</v>
      </c>
      <c r="F162" s="10" t="s">
        <v>17</v>
      </c>
      <c r="G162" s="10" t="s">
        <v>17</v>
      </c>
    </row>
    <row r="163" spans="1:7" x14ac:dyDescent="0.25">
      <c r="A163" s="6" t="s">
        <v>35</v>
      </c>
      <c r="B163" s="7" t="s">
        <v>254</v>
      </c>
      <c r="C163" s="8">
        <v>136611.35</v>
      </c>
      <c r="D163" s="8">
        <v>15448.8</v>
      </c>
      <c r="E163" s="9">
        <v>0.11308577215582701</v>
      </c>
      <c r="F163" s="10" t="s">
        <v>17</v>
      </c>
      <c r="G163" s="10" t="s">
        <v>17</v>
      </c>
    </row>
    <row r="164" spans="1:7" x14ac:dyDescent="0.25">
      <c r="A164" s="6" t="s">
        <v>36</v>
      </c>
      <c r="B164" s="7" t="s">
        <v>279</v>
      </c>
      <c r="C164" s="8">
        <v>134908.72</v>
      </c>
      <c r="D164" s="8">
        <v>134908.72</v>
      </c>
      <c r="E164" s="9">
        <v>1</v>
      </c>
      <c r="F164" s="10" t="s">
        <v>17</v>
      </c>
      <c r="G164" s="10" t="s">
        <v>17</v>
      </c>
    </row>
    <row r="165" spans="1:7" x14ac:dyDescent="0.25">
      <c r="A165" s="6" t="s">
        <v>37</v>
      </c>
      <c r="B165" s="7" t="s">
        <v>187</v>
      </c>
      <c r="C165" s="8">
        <v>131167.23000000001</v>
      </c>
      <c r="D165" s="8">
        <v>131167.23000000001</v>
      </c>
      <c r="E165" s="9">
        <v>1</v>
      </c>
      <c r="F165" s="10" t="s">
        <v>17</v>
      </c>
      <c r="G165" s="10" t="s">
        <v>17</v>
      </c>
    </row>
    <row r="166" spans="1:7" x14ac:dyDescent="0.25">
      <c r="A166" s="6" t="s">
        <v>38</v>
      </c>
      <c r="B166" s="7" t="s">
        <v>303</v>
      </c>
      <c r="C166" s="8">
        <v>121006.87</v>
      </c>
      <c r="D166" s="8">
        <v>121006.87</v>
      </c>
      <c r="E166" s="9">
        <v>1</v>
      </c>
      <c r="F166" s="10" t="s">
        <v>17</v>
      </c>
      <c r="G166" s="10" t="s">
        <v>17</v>
      </c>
    </row>
    <row r="167" spans="1:7" x14ac:dyDescent="0.25">
      <c r="A167" s="6" t="s">
        <v>39</v>
      </c>
      <c r="B167" s="7" t="s">
        <v>215</v>
      </c>
      <c r="C167" s="8">
        <v>118637.71</v>
      </c>
      <c r="D167" s="8">
        <v>935.69</v>
      </c>
      <c r="E167" s="9">
        <v>7.88695263925779E-3</v>
      </c>
      <c r="F167" s="10" t="s">
        <v>17</v>
      </c>
      <c r="G167" s="10" t="s">
        <v>17</v>
      </c>
    </row>
    <row r="168" spans="1:7" x14ac:dyDescent="0.25">
      <c r="A168" s="6" t="s">
        <v>40</v>
      </c>
      <c r="B168" s="7" t="s">
        <v>308</v>
      </c>
      <c r="C168" s="8">
        <v>97648.496299999999</v>
      </c>
      <c r="D168" s="8">
        <v>2017.19</v>
      </c>
      <c r="E168" s="9">
        <v>2.0657665775033501E-2</v>
      </c>
      <c r="F168" s="10" t="s">
        <v>17</v>
      </c>
      <c r="G168" s="10" t="s">
        <v>17</v>
      </c>
    </row>
    <row r="169" spans="1:7" x14ac:dyDescent="0.25">
      <c r="A169" s="6" t="s">
        <v>41</v>
      </c>
      <c r="B169" s="7" t="s">
        <v>294</v>
      </c>
      <c r="C169" s="8">
        <v>84261.69</v>
      </c>
      <c r="D169" s="8">
        <v>46097.65</v>
      </c>
      <c r="E169" s="9">
        <v>0.54707720673534999</v>
      </c>
      <c r="F169" s="10" t="s">
        <v>17</v>
      </c>
      <c r="G169" s="10" t="s">
        <v>17</v>
      </c>
    </row>
    <row r="170" spans="1:7" x14ac:dyDescent="0.25">
      <c r="A170" s="6" t="s">
        <v>42</v>
      </c>
      <c r="B170" s="7" t="s">
        <v>184</v>
      </c>
      <c r="C170" s="8">
        <v>80131.839999999997</v>
      </c>
      <c r="D170" s="8">
        <v>80131.839999999997</v>
      </c>
      <c r="E170" s="9">
        <v>1</v>
      </c>
      <c r="F170" s="10" t="s">
        <v>17</v>
      </c>
      <c r="G170" s="10" t="s">
        <v>17</v>
      </c>
    </row>
    <row r="171" spans="1:7" x14ac:dyDescent="0.25">
      <c r="A171" s="6" t="s">
        <v>43</v>
      </c>
      <c r="B171" s="7" t="s">
        <v>280</v>
      </c>
      <c r="C171" s="8">
        <v>74292.460000000006</v>
      </c>
      <c r="D171" s="8">
        <v>1165.73</v>
      </c>
      <c r="E171" s="9">
        <v>1.56910943587007E-2</v>
      </c>
      <c r="F171" s="10" t="s">
        <v>17</v>
      </c>
      <c r="G171" s="10" t="s">
        <v>17</v>
      </c>
    </row>
    <row r="172" spans="1:7" x14ac:dyDescent="0.25">
      <c r="A172" s="6" t="s">
        <v>44</v>
      </c>
      <c r="B172" s="7" t="s">
        <v>284</v>
      </c>
      <c r="C172" s="8">
        <v>57078.28</v>
      </c>
      <c r="D172" s="8">
        <v>11313.96</v>
      </c>
      <c r="E172" s="9">
        <v>0.198218306508185</v>
      </c>
      <c r="F172" s="10" t="s">
        <v>17</v>
      </c>
      <c r="G172" s="10" t="s">
        <v>17</v>
      </c>
    </row>
    <row r="173" spans="1:7" x14ac:dyDescent="0.25">
      <c r="A173" s="6" t="s">
        <v>45</v>
      </c>
      <c r="B173" s="7" t="s">
        <v>175</v>
      </c>
      <c r="C173" s="8">
        <v>54842.77</v>
      </c>
      <c r="D173" s="8">
        <v>54842.77</v>
      </c>
      <c r="E173" s="9">
        <v>1</v>
      </c>
      <c r="F173" s="10" t="s">
        <v>17</v>
      </c>
      <c r="G173" s="10" t="s">
        <v>17</v>
      </c>
    </row>
    <row r="174" spans="1:7" x14ac:dyDescent="0.25">
      <c r="A174" s="6" t="s">
        <v>46</v>
      </c>
      <c r="B174" s="7" t="s">
        <v>227</v>
      </c>
      <c r="C174" s="8">
        <v>50059.42</v>
      </c>
      <c r="D174" s="8">
        <v>50059.42</v>
      </c>
      <c r="E174" s="9">
        <v>1</v>
      </c>
      <c r="F174" s="10" t="s">
        <v>17</v>
      </c>
      <c r="G174" s="10" t="s">
        <v>17</v>
      </c>
    </row>
    <row r="175" spans="1:7" x14ac:dyDescent="0.25">
      <c r="A175" s="6" t="s">
        <v>47</v>
      </c>
      <c r="B175" s="7" t="s">
        <v>248</v>
      </c>
      <c r="C175" s="8">
        <v>37314.75</v>
      </c>
      <c r="D175" s="8">
        <v>37314.75</v>
      </c>
      <c r="E175" s="9">
        <v>1</v>
      </c>
      <c r="F175" s="10" t="s">
        <v>17</v>
      </c>
      <c r="G175" s="10" t="s">
        <v>17</v>
      </c>
    </row>
    <row r="176" spans="1:7" x14ac:dyDescent="0.25">
      <c r="A176" s="6" t="s">
        <v>48</v>
      </c>
      <c r="B176" s="7" t="s">
        <v>261</v>
      </c>
      <c r="C176" s="8">
        <v>35395.42</v>
      </c>
      <c r="D176" s="8">
        <v>9833.81</v>
      </c>
      <c r="E176" s="9">
        <v>0.277827187811304</v>
      </c>
      <c r="F176" s="10" t="s">
        <v>17</v>
      </c>
      <c r="G176" s="10" t="s">
        <v>17</v>
      </c>
    </row>
    <row r="177" spans="1:7" x14ac:dyDescent="0.25">
      <c r="A177" s="6" t="s">
        <v>49</v>
      </c>
      <c r="B177" s="7" t="s">
        <v>190</v>
      </c>
      <c r="C177" s="8">
        <v>33618.79</v>
      </c>
      <c r="D177" s="8">
        <v>33618.79</v>
      </c>
      <c r="E177" s="9">
        <v>1</v>
      </c>
      <c r="F177" s="10" t="s">
        <v>17</v>
      </c>
      <c r="G177" s="10" t="s">
        <v>17</v>
      </c>
    </row>
    <row r="178" spans="1:7" x14ac:dyDescent="0.25">
      <c r="A178" s="6" t="s">
        <v>50</v>
      </c>
      <c r="B178" s="7" t="s">
        <v>220</v>
      </c>
      <c r="C178" s="8">
        <v>20872.25</v>
      </c>
      <c r="D178" s="8">
        <v>20872.25</v>
      </c>
      <c r="E178" s="9">
        <v>1</v>
      </c>
      <c r="F178" s="10" t="s">
        <v>17</v>
      </c>
      <c r="G178" s="10" t="s">
        <v>17</v>
      </c>
    </row>
    <row r="179" spans="1:7" x14ac:dyDescent="0.25">
      <c r="A179" s="6" t="s">
        <v>51</v>
      </c>
      <c r="B179" s="7" t="s">
        <v>285</v>
      </c>
      <c r="C179" s="8">
        <v>20002.439999999999</v>
      </c>
      <c r="D179" s="8">
        <v>20002.439999999999</v>
      </c>
      <c r="E179" s="9">
        <v>1</v>
      </c>
      <c r="F179" s="10" t="s">
        <v>17</v>
      </c>
      <c r="G179" s="10" t="s">
        <v>17</v>
      </c>
    </row>
    <row r="180" spans="1:7" x14ac:dyDescent="0.25">
      <c r="A180" s="6" t="s">
        <v>52</v>
      </c>
      <c r="B180" s="7" t="s">
        <v>287</v>
      </c>
      <c r="C180" s="8">
        <v>11441.51</v>
      </c>
      <c r="D180" s="8">
        <v>285.43</v>
      </c>
      <c r="E180" s="9">
        <v>2.4946882011203101E-2</v>
      </c>
      <c r="F180" s="10" t="s">
        <v>17</v>
      </c>
      <c r="G180" s="10" t="s">
        <v>17</v>
      </c>
    </row>
    <row r="181" spans="1:7" x14ac:dyDescent="0.25">
      <c r="A181" s="6" t="s">
        <v>53</v>
      </c>
      <c r="B181" s="7" t="s">
        <v>238</v>
      </c>
      <c r="C181" s="8">
        <v>6127.1</v>
      </c>
      <c r="D181" s="8">
        <v>66.16</v>
      </c>
      <c r="E181" s="9">
        <v>1.0797930505459401E-2</v>
      </c>
      <c r="F181" s="10" t="s">
        <v>17</v>
      </c>
      <c r="G181" s="10" t="s">
        <v>17</v>
      </c>
    </row>
    <row r="182" spans="1:7" x14ac:dyDescent="0.25">
      <c r="A182" s="6" t="s">
        <v>54</v>
      </c>
      <c r="B182" s="7" t="s">
        <v>261</v>
      </c>
      <c r="C182" s="8">
        <v>5505.76</v>
      </c>
      <c r="D182" s="8">
        <v>5505.76</v>
      </c>
      <c r="E182" s="9">
        <v>1</v>
      </c>
      <c r="F182" s="10" t="s">
        <v>17</v>
      </c>
      <c r="G182" s="10" t="s">
        <v>17</v>
      </c>
    </row>
    <row r="183" spans="1:7" x14ac:dyDescent="0.25">
      <c r="A183" s="6" t="s">
        <v>55</v>
      </c>
      <c r="B183" s="7" t="s">
        <v>288</v>
      </c>
      <c r="C183" s="8">
        <v>4923.3500000000004</v>
      </c>
      <c r="D183" s="8">
        <v>948.17</v>
      </c>
      <c r="E183" s="9">
        <v>0.192586348725969</v>
      </c>
      <c r="F183" s="10" t="s">
        <v>17</v>
      </c>
      <c r="G183" s="10" t="s">
        <v>17</v>
      </c>
    </row>
    <row r="184" spans="1:7" x14ac:dyDescent="0.25">
      <c r="A184" s="6" t="s">
        <v>56</v>
      </c>
      <c r="B184" s="7" t="s">
        <v>326</v>
      </c>
      <c r="C184" s="8">
        <v>2674.03</v>
      </c>
      <c r="D184" s="8">
        <v>2674.03</v>
      </c>
      <c r="E184" s="9">
        <v>1</v>
      </c>
      <c r="F184" s="10" t="s">
        <v>17</v>
      </c>
      <c r="G184" s="10" t="s">
        <v>17</v>
      </c>
    </row>
    <row r="185" spans="1:7" x14ac:dyDescent="0.25">
      <c r="A185" s="6" t="s">
        <v>57</v>
      </c>
      <c r="B185" s="7" t="s">
        <v>202</v>
      </c>
      <c r="C185" s="8">
        <v>1615.13</v>
      </c>
      <c r="D185" s="8">
        <v>19.43</v>
      </c>
      <c r="E185" s="9">
        <v>1.20299913938816E-2</v>
      </c>
      <c r="F185" s="10" t="s">
        <v>17</v>
      </c>
      <c r="G185" s="10" t="s">
        <v>17</v>
      </c>
    </row>
    <row r="186" spans="1:7" x14ac:dyDescent="0.25">
      <c r="A186" s="6" t="s">
        <v>58</v>
      </c>
      <c r="B186" s="7" t="s">
        <v>289</v>
      </c>
      <c r="C186" s="8">
        <v>1200.23</v>
      </c>
      <c r="D186" s="8">
        <v>54.98</v>
      </c>
      <c r="E186" s="9">
        <v>4.5807886821692498E-2</v>
      </c>
      <c r="F186" s="10" t="s">
        <v>17</v>
      </c>
      <c r="G186" s="10" t="s">
        <v>17</v>
      </c>
    </row>
    <row r="187" spans="1:7" x14ac:dyDescent="0.25">
      <c r="A187" s="6" t="s">
        <v>59</v>
      </c>
      <c r="B187" s="7" t="s">
        <v>295</v>
      </c>
      <c r="C187" s="8">
        <v>1200.01</v>
      </c>
      <c r="D187" s="8">
        <v>1200.01</v>
      </c>
      <c r="E187" s="9">
        <v>1</v>
      </c>
      <c r="F187" s="10" t="s">
        <v>17</v>
      </c>
      <c r="G187" s="10" t="s">
        <v>17</v>
      </c>
    </row>
    <row r="188" spans="1:7" x14ac:dyDescent="0.25">
      <c r="A188" s="6" t="s">
        <v>60</v>
      </c>
      <c r="B188" s="7" t="s">
        <v>327</v>
      </c>
      <c r="C188" s="8">
        <v>1150.42</v>
      </c>
      <c r="D188" s="8">
        <v>1150.42</v>
      </c>
      <c r="E188" s="9">
        <v>1</v>
      </c>
      <c r="F188" s="10" t="s">
        <v>17</v>
      </c>
      <c r="G188" s="10" t="s">
        <v>17</v>
      </c>
    </row>
    <row r="189" spans="1:7" x14ac:dyDescent="0.25">
      <c r="A189" s="6" t="s">
        <v>61</v>
      </c>
      <c r="B189" s="7" t="s">
        <v>314</v>
      </c>
      <c r="C189" s="8">
        <v>1000.42</v>
      </c>
      <c r="D189" s="8">
        <v>1000.42</v>
      </c>
      <c r="E189" s="9">
        <v>1</v>
      </c>
      <c r="F189" s="10" t="s">
        <v>17</v>
      </c>
      <c r="G189" s="10" t="s">
        <v>17</v>
      </c>
    </row>
    <row r="190" spans="1:7" x14ac:dyDescent="0.25">
      <c r="A190" s="6" t="s">
        <v>62</v>
      </c>
      <c r="B190" s="7" t="s">
        <v>290</v>
      </c>
      <c r="C190" s="8">
        <v>624.05999999999995</v>
      </c>
      <c r="D190" s="8">
        <v>89.51</v>
      </c>
      <c r="E190" s="9">
        <v>0.14343172130884899</v>
      </c>
      <c r="F190" s="10" t="s">
        <v>17</v>
      </c>
      <c r="G190" s="10" t="s">
        <v>17</v>
      </c>
    </row>
    <row r="191" spans="1:7" x14ac:dyDescent="0.25">
      <c r="A191" s="6" t="s">
        <v>63</v>
      </c>
      <c r="B191" s="7" t="s">
        <v>204</v>
      </c>
      <c r="C191" s="8">
        <v>21.6</v>
      </c>
      <c r="D191" s="8">
        <v>21.6</v>
      </c>
      <c r="E191" s="9">
        <v>1</v>
      </c>
      <c r="F191" s="10" t="s">
        <v>17</v>
      </c>
      <c r="G191" s="10" t="s">
        <v>17</v>
      </c>
    </row>
    <row r="192" spans="1:7" x14ac:dyDescent="0.25">
      <c r="A192" s="6" t="s">
        <v>64</v>
      </c>
      <c r="B192" s="7" t="s">
        <v>271</v>
      </c>
      <c r="C192" s="8">
        <v>20.07</v>
      </c>
      <c r="D192" s="8">
        <v>20.07</v>
      </c>
      <c r="E192" s="9">
        <v>1</v>
      </c>
      <c r="F192" s="10" t="s">
        <v>17</v>
      </c>
      <c r="G192" s="10" t="s">
        <v>17</v>
      </c>
    </row>
    <row r="193" spans="1:7" x14ac:dyDescent="0.25">
      <c r="A193" s="6" t="s">
        <v>65</v>
      </c>
      <c r="B193" s="7" t="s">
        <v>297</v>
      </c>
      <c r="C193" s="8">
        <v>6.87</v>
      </c>
      <c r="D193" s="8">
        <v>6.87</v>
      </c>
      <c r="E193" s="9">
        <v>1</v>
      </c>
      <c r="F193" s="10" t="s">
        <v>17</v>
      </c>
      <c r="G193" s="10" t="s">
        <v>17</v>
      </c>
    </row>
    <row r="194" spans="1:7" x14ac:dyDescent="0.25">
      <c r="A194" s="6" t="s">
        <v>66</v>
      </c>
      <c r="B194" s="7" t="s">
        <v>296</v>
      </c>
      <c r="C194" s="8">
        <v>3.17</v>
      </c>
      <c r="D194" s="8">
        <v>3.17</v>
      </c>
      <c r="E194" s="9">
        <v>1</v>
      </c>
      <c r="F194" s="10" t="s">
        <v>17</v>
      </c>
      <c r="G194" s="10" t="s">
        <v>17</v>
      </c>
    </row>
    <row r="195" spans="1:7" x14ac:dyDescent="0.25">
      <c r="A195" s="6" t="s">
        <v>67</v>
      </c>
      <c r="B195" s="7" t="s">
        <v>281</v>
      </c>
      <c r="C195" s="8">
        <v>0.33</v>
      </c>
      <c r="D195" s="8">
        <v>0.33</v>
      </c>
      <c r="E195" s="9">
        <v>1</v>
      </c>
      <c r="F195" s="10" t="s">
        <v>17</v>
      </c>
      <c r="G195" s="10" t="s">
        <v>17</v>
      </c>
    </row>
    <row r="196" spans="1:7" x14ac:dyDescent="0.25">
      <c r="A196" s="6" t="s">
        <v>68</v>
      </c>
      <c r="B196" s="7" t="s">
        <v>164</v>
      </c>
      <c r="C196" s="8">
        <v>0.03</v>
      </c>
      <c r="D196" s="8">
        <v>0.03</v>
      </c>
      <c r="E196" s="9">
        <v>1</v>
      </c>
      <c r="F196" s="10" t="s">
        <v>17</v>
      </c>
      <c r="G196" s="10" t="s">
        <v>17</v>
      </c>
    </row>
    <row r="197" spans="1:7" x14ac:dyDescent="0.25">
      <c r="A197" s="6" t="s">
        <v>69</v>
      </c>
      <c r="B197" s="7" t="s">
        <v>230</v>
      </c>
      <c r="C197" s="8">
        <v>0.01</v>
      </c>
      <c r="D197" s="8">
        <v>0.01</v>
      </c>
      <c r="E197" s="9">
        <v>1</v>
      </c>
      <c r="F197" s="10" t="s">
        <v>17</v>
      </c>
      <c r="G197" s="10" t="s">
        <v>17</v>
      </c>
    </row>
    <row r="198" spans="1:7" x14ac:dyDescent="0.25">
      <c r="A198" s="6" t="s">
        <v>70</v>
      </c>
      <c r="B198" s="7" t="s">
        <v>208</v>
      </c>
      <c r="C198" s="8">
        <v>0.01</v>
      </c>
      <c r="D198" s="8">
        <v>0.01</v>
      </c>
      <c r="E198" s="9">
        <v>1</v>
      </c>
      <c r="F198" s="10" t="s">
        <v>17</v>
      </c>
      <c r="G198" s="10" t="s">
        <v>17</v>
      </c>
    </row>
    <row r="199" spans="1:7" x14ac:dyDescent="0.25">
      <c r="A199" s="6" t="s">
        <v>71</v>
      </c>
      <c r="B199" s="7" t="s">
        <v>286</v>
      </c>
      <c r="C199" s="8">
        <v>0</v>
      </c>
      <c r="D199" s="8">
        <v>0</v>
      </c>
      <c r="E199" s="9">
        <v>0</v>
      </c>
      <c r="F199" s="10" t="s">
        <v>17</v>
      </c>
      <c r="G199" s="10" t="s">
        <v>17</v>
      </c>
    </row>
    <row r="200" spans="1:7" x14ac:dyDescent="0.25">
      <c r="A200" s="6" t="s">
        <v>72</v>
      </c>
      <c r="B200" s="7" t="s">
        <v>210</v>
      </c>
      <c r="C200" s="8">
        <v>0</v>
      </c>
      <c r="D200" s="8">
        <v>0</v>
      </c>
      <c r="E200" s="9">
        <v>0</v>
      </c>
      <c r="F200" s="10" t="s">
        <v>17</v>
      </c>
      <c r="G200" s="10" t="s">
        <v>17</v>
      </c>
    </row>
    <row r="201" spans="1:7" x14ac:dyDescent="0.25">
      <c r="A201" s="6" t="s">
        <v>73</v>
      </c>
      <c r="B201" s="7" t="s">
        <v>219</v>
      </c>
      <c r="C201" s="8">
        <v>0</v>
      </c>
      <c r="D201" s="8">
        <v>0</v>
      </c>
      <c r="E201" s="9">
        <v>0</v>
      </c>
      <c r="F201" s="10" t="s">
        <v>17</v>
      </c>
      <c r="G201" s="10" t="s">
        <v>17</v>
      </c>
    </row>
    <row r="202" spans="1:7" x14ac:dyDescent="0.25">
      <c r="A202" s="6" t="s">
        <v>74</v>
      </c>
      <c r="B202" s="7" t="s">
        <v>262</v>
      </c>
      <c r="C202" s="8">
        <v>0</v>
      </c>
      <c r="D202" s="8">
        <v>0</v>
      </c>
      <c r="E202" s="9">
        <v>0</v>
      </c>
      <c r="F202" s="10" t="s">
        <v>17</v>
      </c>
      <c r="G202" s="10" t="s">
        <v>17</v>
      </c>
    </row>
    <row r="203" spans="1:7" x14ac:dyDescent="0.25">
      <c r="A203" s="6" t="s">
        <v>75</v>
      </c>
      <c r="B203" s="7" t="s">
        <v>282</v>
      </c>
      <c r="C203" s="8">
        <v>0</v>
      </c>
      <c r="D203" s="8">
        <v>0</v>
      </c>
      <c r="E203" s="9">
        <v>0</v>
      </c>
      <c r="F203" s="10" t="s">
        <v>17</v>
      </c>
      <c r="G203" s="10" t="s">
        <v>17</v>
      </c>
    </row>
    <row r="204" spans="1:7" x14ac:dyDescent="0.25">
      <c r="A204" s="6" t="s">
        <v>76</v>
      </c>
      <c r="B204" s="7" t="s">
        <v>229</v>
      </c>
      <c r="C204" s="8">
        <v>0</v>
      </c>
      <c r="D204" s="8">
        <v>0</v>
      </c>
      <c r="E204" s="9">
        <v>0</v>
      </c>
      <c r="F204" s="10" t="s">
        <v>17</v>
      </c>
      <c r="G204" s="10" t="s">
        <v>17</v>
      </c>
    </row>
    <row r="205" spans="1:7" x14ac:dyDescent="0.25">
      <c r="A205" s="6" t="s">
        <v>77</v>
      </c>
      <c r="B205" s="7" t="s">
        <v>221</v>
      </c>
      <c r="C205" s="8">
        <v>0</v>
      </c>
      <c r="D205" s="8">
        <v>0</v>
      </c>
      <c r="E205" s="9">
        <v>0</v>
      </c>
      <c r="F205" s="10" t="s">
        <v>17</v>
      </c>
      <c r="G205" s="10" t="s">
        <v>17</v>
      </c>
    </row>
    <row r="206" spans="1:7" x14ac:dyDescent="0.25">
      <c r="C206" s="8"/>
      <c r="D206" s="8"/>
      <c r="E206" s="9"/>
    </row>
    <row r="211" spans="2:5" x14ac:dyDescent="0.25">
      <c r="B211" s="20" t="s">
        <v>273</v>
      </c>
      <c r="C211" s="21">
        <f>SUM(C2:C144)</f>
        <v>89866577.145600006</v>
      </c>
      <c r="D211" s="21">
        <f>SUM(D2:D144)</f>
        <v>25820787.169999983</v>
      </c>
      <c r="E211" s="22">
        <f>(D211 / C211)</f>
        <v>0.28732358558806204</v>
      </c>
    </row>
    <row r="215" spans="2:5" x14ac:dyDescent="0.25">
      <c r="B215" s="20" t="s">
        <v>272</v>
      </c>
      <c r="C215" s="21">
        <f>SUM(C145:C209)</f>
        <v>11445275.1263</v>
      </c>
      <c r="D215" s="21">
        <f>SUM(D145:D209)</f>
        <v>7342746.6000000024</v>
      </c>
      <c r="E215" s="22">
        <f>(D215 / C215)</f>
        <v>0.64155265111339854</v>
      </c>
    </row>
    <row r="219" spans="2:5" x14ac:dyDescent="0.25">
      <c r="B219" s="20" t="s">
        <v>274</v>
      </c>
      <c r="C219" s="21">
        <f>SUM(C2:C215) / 2</f>
        <v>101311852.2719</v>
      </c>
      <c r="D219" s="21">
        <f>SUM(D2:D215) / 2</f>
        <v>33163533.769999992</v>
      </c>
      <c r="E219" s="22">
        <f>(D219 / C219)</f>
        <v>0.32734110596454152</v>
      </c>
    </row>
  </sheetData>
  <pageMargins left="0.7" right="0.7" top="0.75" bottom="0.75" header="0.3" footer="0.3"/>
  <pageSetup orientation="landscape" r:id="rId1"/>
  <headerFooter>
    <oddHeader>&amp;R&amp;B&amp;12As of &amp;D&amp;C&amp;B&amp;12Sunset West Daily Cash Percentage Report</oddHeader>
    <oddFooter>&amp;C&amp;B&amp;12&amp;P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9D2C0-D34D-44AE-80CC-EBAB83FF794E}">
  <dimension ref="A1:G220"/>
  <sheetViews>
    <sheetView workbookViewId="0">
      <selection activeCell="C23" sqref="C23"/>
    </sheetView>
  </sheetViews>
  <sheetFormatPr defaultRowHeight="15.75" x14ac:dyDescent="0.25"/>
  <cols>
    <col min="1" max="1" width="5" style="10" bestFit="1" customWidth="1"/>
    <col min="2" max="2" width="26.28515625" style="7" customWidth="1"/>
    <col min="3" max="3" width="15.140625" style="10" customWidth="1"/>
    <col min="4" max="4" width="14" style="10" customWidth="1"/>
    <col min="5" max="5" width="9.140625" style="10"/>
    <col min="6" max="6" width="9.7109375" style="10" customWidth="1"/>
    <col min="7" max="7" width="10.42578125" style="10" customWidth="1"/>
    <col min="8" max="16384" width="9.140625" style="1"/>
  </cols>
  <sheetData>
    <row r="1" spans="1:7" ht="31.5" x14ac:dyDescent="0.25">
      <c r="A1" s="18"/>
      <c r="B1" s="2" t="s">
        <v>157</v>
      </c>
      <c r="C1" s="3" t="s">
        <v>158</v>
      </c>
      <c r="D1" s="3" t="s">
        <v>159</v>
      </c>
      <c r="E1" s="4" t="s">
        <v>160</v>
      </c>
      <c r="F1" s="5" t="s">
        <v>161</v>
      </c>
      <c r="G1" s="5" t="s">
        <v>162</v>
      </c>
    </row>
    <row r="2" spans="1:7" x14ac:dyDescent="0.25">
      <c r="A2" s="6" t="s">
        <v>18</v>
      </c>
      <c r="B2" s="7" t="s">
        <v>163</v>
      </c>
      <c r="C2" s="8">
        <v>4973912.37</v>
      </c>
      <c r="D2" s="8">
        <v>1025240.25</v>
      </c>
      <c r="E2" s="9">
        <v>0.20612350474521901</v>
      </c>
      <c r="F2" s="10" t="s">
        <v>0</v>
      </c>
      <c r="G2" s="11">
        <f>(D2 / F2)</f>
        <v>75.94372222222222</v>
      </c>
    </row>
    <row r="3" spans="1:7" x14ac:dyDescent="0.25">
      <c r="A3" s="6" t="s">
        <v>19</v>
      </c>
      <c r="B3" s="7" t="s">
        <v>297</v>
      </c>
      <c r="C3" s="8">
        <v>4950068.3899999997</v>
      </c>
      <c r="D3" s="8">
        <v>4950068.3899999997</v>
      </c>
      <c r="E3" s="9">
        <v>1</v>
      </c>
      <c r="F3" s="10" t="s">
        <v>17</v>
      </c>
      <c r="G3" s="10" t="s">
        <v>17</v>
      </c>
    </row>
    <row r="4" spans="1:7" x14ac:dyDescent="0.25">
      <c r="A4" s="6" t="s">
        <v>20</v>
      </c>
      <c r="B4" s="7" t="s">
        <v>168</v>
      </c>
      <c r="C4" s="8">
        <v>4302867.51</v>
      </c>
      <c r="D4" s="8">
        <v>1385112.48</v>
      </c>
      <c r="E4" s="9">
        <v>0.32190451525197</v>
      </c>
      <c r="F4" s="10" t="s">
        <v>17</v>
      </c>
      <c r="G4" s="10" t="s">
        <v>17</v>
      </c>
    </row>
    <row r="5" spans="1:7" x14ac:dyDescent="0.25">
      <c r="A5" s="6" t="s">
        <v>21</v>
      </c>
      <c r="B5" s="7" t="s">
        <v>165</v>
      </c>
      <c r="C5" s="8">
        <v>3323251.5364999999</v>
      </c>
      <c r="D5" s="8">
        <v>726471.3</v>
      </c>
      <c r="E5" s="9">
        <v>0.21860256198515399</v>
      </c>
      <c r="F5" s="10" t="s">
        <v>17</v>
      </c>
      <c r="G5" s="10" t="s">
        <v>17</v>
      </c>
    </row>
    <row r="6" spans="1:7" x14ac:dyDescent="0.25">
      <c r="A6" s="6" t="s">
        <v>22</v>
      </c>
      <c r="B6" s="7" t="s">
        <v>166</v>
      </c>
      <c r="C6" s="8">
        <v>2947738.7</v>
      </c>
      <c r="D6" s="8">
        <v>506678</v>
      </c>
      <c r="E6" s="9">
        <v>0.171887012916036</v>
      </c>
      <c r="F6" s="10" t="s">
        <v>17</v>
      </c>
      <c r="G6" s="10" t="s">
        <v>17</v>
      </c>
    </row>
    <row r="7" spans="1:7" x14ac:dyDescent="0.25">
      <c r="A7" s="6" t="s">
        <v>23</v>
      </c>
      <c r="B7" s="7" t="s">
        <v>164</v>
      </c>
      <c r="C7" s="8">
        <v>2931144.12</v>
      </c>
      <c r="D7" s="8">
        <v>568006.06000000006</v>
      </c>
      <c r="E7" s="9">
        <v>0.19378305424299599</v>
      </c>
      <c r="F7" s="10" t="s">
        <v>1</v>
      </c>
      <c r="G7" s="11">
        <f>(D7 / F7)</f>
        <v>61.539118093174437</v>
      </c>
    </row>
    <row r="8" spans="1:7" x14ac:dyDescent="0.25">
      <c r="A8" s="6" t="s">
        <v>24</v>
      </c>
      <c r="B8" s="7" t="s">
        <v>167</v>
      </c>
      <c r="C8" s="8">
        <v>2576965.94</v>
      </c>
      <c r="D8" s="8">
        <v>1115470.3999999999</v>
      </c>
      <c r="E8" s="9">
        <v>0.43286191046824601</v>
      </c>
      <c r="F8" s="10" t="s">
        <v>2</v>
      </c>
      <c r="G8" s="11">
        <f>(D8 / F8)</f>
        <v>434.37320872274142</v>
      </c>
    </row>
    <row r="9" spans="1:7" x14ac:dyDescent="0.25">
      <c r="A9" s="6" t="s">
        <v>25</v>
      </c>
      <c r="B9" s="7" t="s">
        <v>169</v>
      </c>
      <c r="C9" s="8">
        <v>2285598.98</v>
      </c>
      <c r="D9" s="8">
        <v>351894.64</v>
      </c>
      <c r="E9" s="9">
        <v>0.15396167178898601</v>
      </c>
      <c r="F9" s="10" t="s">
        <v>293</v>
      </c>
      <c r="G9" s="11">
        <f>(D9 / F9)</f>
        <v>37.04154105263158</v>
      </c>
    </row>
    <row r="10" spans="1:7" x14ac:dyDescent="0.25">
      <c r="A10" s="6" t="s">
        <v>26</v>
      </c>
      <c r="B10" s="7" t="s">
        <v>170</v>
      </c>
      <c r="C10" s="8">
        <v>2107397.92</v>
      </c>
      <c r="D10" s="8">
        <v>300607.37</v>
      </c>
      <c r="E10" s="9">
        <v>0.14264385816609301</v>
      </c>
      <c r="F10" s="10" t="s">
        <v>3</v>
      </c>
      <c r="G10" s="11">
        <f>(D10 / F10)</f>
        <v>37.57592125</v>
      </c>
    </row>
    <row r="11" spans="1:7" x14ac:dyDescent="0.25">
      <c r="A11" s="6" t="s">
        <v>27</v>
      </c>
      <c r="B11" s="7" t="s">
        <v>171</v>
      </c>
      <c r="C11" s="8">
        <v>2023733.56</v>
      </c>
      <c r="D11" s="8">
        <v>352587.67</v>
      </c>
      <c r="E11" s="9">
        <v>0.174226329477879</v>
      </c>
      <c r="F11" s="10" t="s">
        <v>17</v>
      </c>
      <c r="G11" s="10" t="s">
        <v>17</v>
      </c>
    </row>
    <row r="12" spans="1:7" x14ac:dyDescent="0.25">
      <c r="A12" s="6" t="s">
        <v>28</v>
      </c>
      <c r="B12" s="7" t="s">
        <v>172</v>
      </c>
      <c r="C12" s="8">
        <v>1908485.24</v>
      </c>
      <c r="D12" s="8">
        <v>408504.84</v>
      </c>
      <c r="E12" s="9">
        <v>0.21404663312984301</v>
      </c>
      <c r="F12" s="10" t="s">
        <v>17</v>
      </c>
      <c r="G12" s="10" t="s">
        <v>17</v>
      </c>
    </row>
    <row r="13" spans="1:7" x14ac:dyDescent="0.25">
      <c r="A13" s="6" t="s">
        <v>29</v>
      </c>
      <c r="B13" s="7" t="s">
        <v>316</v>
      </c>
      <c r="C13" s="8">
        <v>1890181.8958000001</v>
      </c>
      <c r="D13" s="8">
        <v>1040153.23</v>
      </c>
      <c r="E13" s="9">
        <v>0.55029266353213402</v>
      </c>
      <c r="F13" s="10" t="s">
        <v>17</v>
      </c>
      <c r="G13" s="10" t="s">
        <v>17</v>
      </c>
    </row>
    <row r="14" spans="1:7" x14ac:dyDescent="0.25">
      <c r="A14" s="6" t="s">
        <v>30</v>
      </c>
      <c r="B14" s="7" t="s">
        <v>173</v>
      </c>
      <c r="C14" s="8">
        <v>1828397.54</v>
      </c>
      <c r="D14" s="8">
        <v>335322.28999999998</v>
      </c>
      <c r="E14" s="9">
        <v>0.183396817521424</v>
      </c>
      <c r="F14" s="10" t="s">
        <v>4</v>
      </c>
      <c r="G14" s="11">
        <f>(D14 / F14)</f>
        <v>55.887048333333333</v>
      </c>
    </row>
    <row r="15" spans="1:7" x14ac:dyDescent="0.25">
      <c r="A15" s="6" t="s">
        <v>31</v>
      </c>
      <c r="B15" s="7" t="s">
        <v>299</v>
      </c>
      <c r="C15" s="8">
        <v>1724318.23</v>
      </c>
      <c r="D15" s="8">
        <v>1161648.26</v>
      </c>
      <c r="E15" s="9">
        <v>0.67368554121242497</v>
      </c>
      <c r="F15" s="10" t="s">
        <v>17</v>
      </c>
      <c r="G15" s="10" t="s">
        <v>17</v>
      </c>
    </row>
    <row r="16" spans="1:7" x14ac:dyDescent="0.25">
      <c r="A16" s="6" t="s">
        <v>32</v>
      </c>
      <c r="B16" s="7" t="s">
        <v>175</v>
      </c>
      <c r="C16" s="8">
        <v>1337567.83</v>
      </c>
      <c r="D16" s="8">
        <v>276453.27</v>
      </c>
      <c r="E16" s="9">
        <v>0.20668355189134599</v>
      </c>
      <c r="F16" s="10" t="s">
        <v>17</v>
      </c>
      <c r="G16" s="10" t="s">
        <v>17</v>
      </c>
    </row>
    <row r="17" spans="1:7" x14ac:dyDescent="0.25">
      <c r="A17" s="6" t="s">
        <v>33</v>
      </c>
      <c r="B17" s="7" t="s">
        <v>296</v>
      </c>
      <c r="C17" s="8">
        <v>1250303.02</v>
      </c>
      <c r="D17" s="8">
        <v>127027.2</v>
      </c>
      <c r="E17" s="9">
        <v>0.101597131229836</v>
      </c>
      <c r="F17" s="10" t="s">
        <v>17</v>
      </c>
      <c r="G17" s="10" t="s">
        <v>17</v>
      </c>
    </row>
    <row r="18" spans="1:7" x14ac:dyDescent="0.25">
      <c r="A18" s="6" t="s">
        <v>34</v>
      </c>
      <c r="B18" s="7" t="s">
        <v>177</v>
      </c>
      <c r="C18" s="8">
        <v>1235209.8</v>
      </c>
      <c r="D18" s="8">
        <v>268019.09000000003</v>
      </c>
      <c r="E18" s="9">
        <v>0.216982645377328</v>
      </c>
      <c r="F18" s="10" t="s">
        <v>5</v>
      </c>
      <c r="G18" s="11">
        <f>(D18 / F18)</f>
        <v>119.11959555555556</v>
      </c>
    </row>
    <row r="19" spans="1:7" x14ac:dyDescent="0.25">
      <c r="A19" s="6" t="s">
        <v>35</v>
      </c>
      <c r="B19" s="7" t="s">
        <v>178</v>
      </c>
      <c r="C19" s="8">
        <v>1229736.58</v>
      </c>
      <c r="D19" s="8">
        <v>266856.95</v>
      </c>
      <c r="E19" s="9">
        <v>0.21700334391939499</v>
      </c>
      <c r="F19" s="10" t="s">
        <v>17</v>
      </c>
      <c r="G19" s="10" t="s">
        <v>17</v>
      </c>
    </row>
    <row r="20" spans="1:7" x14ac:dyDescent="0.25">
      <c r="A20" s="6" t="s">
        <v>36</v>
      </c>
      <c r="B20" s="7" t="s">
        <v>176</v>
      </c>
      <c r="C20" s="8">
        <v>1229132.99</v>
      </c>
      <c r="D20" s="8">
        <v>305187.17</v>
      </c>
      <c r="E20" s="9">
        <v>0.24829466988759299</v>
      </c>
      <c r="F20" s="10" t="s">
        <v>17</v>
      </c>
      <c r="G20" s="10" t="s">
        <v>17</v>
      </c>
    </row>
    <row r="21" spans="1:7" x14ac:dyDescent="0.25">
      <c r="A21" s="6" t="s">
        <v>37</v>
      </c>
      <c r="B21" s="7" t="s">
        <v>182</v>
      </c>
      <c r="C21" s="8">
        <v>1213081.92</v>
      </c>
      <c r="D21" s="8">
        <v>39782.18</v>
      </c>
      <c r="E21" s="9">
        <v>3.2794306257569197E-2</v>
      </c>
      <c r="F21" s="10" t="s">
        <v>17</v>
      </c>
      <c r="G21" s="10" t="s">
        <v>17</v>
      </c>
    </row>
    <row r="22" spans="1:7" x14ac:dyDescent="0.25">
      <c r="A22" s="6" t="s">
        <v>38</v>
      </c>
      <c r="B22" s="7" t="s">
        <v>184</v>
      </c>
      <c r="C22" s="8">
        <v>1133887.82</v>
      </c>
      <c r="D22" s="8">
        <v>117209.14</v>
      </c>
      <c r="E22" s="9">
        <v>0.103369255699387</v>
      </c>
      <c r="F22" s="10" t="s">
        <v>17</v>
      </c>
      <c r="G22" s="10" t="s">
        <v>17</v>
      </c>
    </row>
    <row r="23" spans="1:7" x14ac:dyDescent="0.25">
      <c r="A23" s="6" t="s">
        <v>39</v>
      </c>
      <c r="B23" s="7" t="s">
        <v>180</v>
      </c>
      <c r="C23" s="8">
        <v>1131866.72</v>
      </c>
      <c r="D23" s="8">
        <v>311328.62</v>
      </c>
      <c r="E23" s="9">
        <v>0.275057667567079</v>
      </c>
      <c r="F23" s="10" t="s">
        <v>17</v>
      </c>
      <c r="G23" s="10" t="s">
        <v>17</v>
      </c>
    </row>
    <row r="24" spans="1:7" x14ac:dyDescent="0.25">
      <c r="A24" s="6" t="s">
        <v>40</v>
      </c>
      <c r="B24" s="7" t="s">
        <v>189</v>
      </c>
      <c r="C24" s="8">
        <v>1129848.95</v>
      </c>
      <c r="D24" s="8">
        <v>301549.87</v>
      </c>
      <c r="E24" s="9">
        <v>0.266893968437108</v>
      </c>
      <c r="F24" s="10" t="s">
        <v>17</v>
      </c>
      <c r="G24" s="10" t="s">
        <v>17</v>
      </c>
    </row>
    <row r="25" spans="1:7" x14ac:dyDescent="0.25">
      <c r="A25" s="6" t="s">
        <v>41</v>
      </c>
      <c r="B25" s="7" t="s">
        <v>186</v>
      </c>
      <c r="C25" s="8">
        <v>1128157.27</v>
      </c>
      <c r="D25" s="8">
        <v>23477.71</v>
      </c>
      <c r="E25" s="9">
        <v>2.08106711930332E-2</v>
      </c>
      <c r="F25" s="10" t="s">
        <v>17</v>
      </c>
      <c r="G25" s="10" t="s">
        <v>17</v>
      </c>
    </row>
    <row r="26" spans="1:7" x14ac:dyDescent="0.25">
      <c r="A26" s="6" t="s">
        <v>42</v>
      </c>
      <c r="B26" s="7" t="s">
        <v>179</v>
      </c>
      <c r="C26" s="8">
        <v>1113824.71</v>
      </c>
      <c r="D26" s="8">
        <v>247990.05</v>
      </c>
      <c r="E26" s="9">
        <v>0.22264728711216999</v>
      </c>
      <c r="F26" s="10" t="s">
        <v>4</v>
      </c>
      <c r="G26" s="11">
        <f>(D26 / F26)</f>
        <v>41.331674999999997</v>
      </c>
    </row>
    <row r="27" spans="1:7" x14ac:dyDescent="0.25">
      <c r="A27" s="12" t="s">
        <v>43</v>
      </c>
      <c r="B27" s="13" t="s">
        <v>181</v>
      </c>
      <c r="C27" s="14">
        <v>1033352.76</v>
      </c>
      <c r="D27" s="14">
        <v>263241.75</v>
      </c>
      <c r="E27" s="15">
        <v>0.25474529143368202</v>
      </c>
      <c r="F27" s="16" t="s">
        <v>6</v>
      </c>
      <c r="G27" s="17">
        <f>(D27 / F27)</f>
        <v>26.324175</v>
      </c>
    </row>
    <row r="28" spans="1:7" x14ac:dyDescent="0.25">
      <c r="A28" s="6" t="s">
        <v>44</v>
      </c>
      <c r="B28" s="7" t="s">
        <v>206</v>
      </c>
      <c r="C28" s="8">
        <v>1011410.64</v>
      </c>
      <c r="D28" s="8">
        <v>427760.46</v>
      </c>
      <c r="E28" s="9">
        <v>0.42293450660159199</v>
      </c>
      <c r="F28" s="10" t="s">
        <v>17</v>
      </c>
      <c r="G28" s="10" t="s">
        <v>17</v>
      </c>
    </row>
    <row r="29" spans="1:7" x14ac:dyDescent="0.25">
      <c r="A29" s="6" t="s">
        <v>45</v>
      </c>
      <c r="B29" s="7" t="s">
        <v>300</v>
      </c>
      <c r="C29" s="8">
        <v>994459.26</v>
      </c>
      <c r="D29" s="8">
        <v>242094.86</v>
      </c>
      <c r="E29" s="9">
        <v>0.24344371834799999</v>
      </c>
      <c r="F29" s="10" t="s">
        <v>17</v>
      </c>
      <c r="G29" s="10" t="s">
        <v>17</v>
      </c>
    </row>
    <row r="30" spans="1:7" x14ac:dyDescent="0.25">
      <c r="A30" s="6" t="s">
        <v>46</v>
      </c>
      <c r="B30" s="7" t="s">
        <v>187</v>
      </c>
      <c r="C30" s="8">
        <v>961004.13</v>
      </c>
      <c r="D30" s="8">
        <v>192179.87</v>
      </c>
      <c r="E30" s="9">
        <v>0.19997819364210201</v>
      </c>
      <c r="F30" s="10" t="s">
        <v>17</v>
      </c>
      <c r="G30" s="10" t="s">
        <v>17</v>
      </c>
    </row>
    <row r="31" spans="1:7" x14ac:dyDescent="0.25">
      <c r="A31" s="6" t="s">
        <v>47</v>
      </c>
      <c r="B31" s="7" t="s">
        <v>188</v>
      </c>
      <c r="C31" s="8">
        <v>954586.05</v>
      </c>
      <c r="D31" s="8">
        <v>175316.24</v>
      </c>
      <c r="E31" s="9">
        <v>0.18365682171869199</v>
      </c>
      <c r="F31" s="10" t="s">
        <v>17</v>
      </c>
      <c r="G31" s="10" t="s">
        <v>17</v>
      </c>
    </row>
    <row r="32" spans="1:7" x14ac:dyDescent="0.25">
      <c r="A32" s="6" t="s">
        <v>48</v>
      </c>
      <c r="B32" s="7" t="s">
        <v>199</v>
      </c>
      <c r="C32" s="8">
        <v>926022.04</v>
      </c>
      <c r="D32" s="8">
        <v>314175.82</v>
      </c>
      <c r="E32" s="9">
        <v>0.339274667803803</v>
      </c>
      <c r="F32" s="10" t="s">
        <v>12</v>
      </c>
      <c r="G32" s="11">
        <f>(D32 / F32)</f>
        <v>69.816848888888885</v>
      </c>
    </row>
    <row r="33" spans="1:7" x14ac:dyDescent="0.25">
      <c r="A33" s="6" t="s">
        <v>49</v>
      </c>
      <c r="B33" s="7" t="s">
        <v>174</v>
      </c>
      <c r="C33" s="8">
        <v>925886.84</v>
      </c>
      <c r="D33" s="8">
        <v>801153.91</v>
      </c>
      <c r="E33" s="9">
        <v>0.86528274880761902</v>
      </c>
      <c r="F33" s="10" t="s">
        <v>17</v>
      </c>
      <c r="G33" s="10" t="s">
        <v>17</v>
      </c>
    </row>
    <row r="34" spans="1:7" x14ac:dyDescent="0.25">
      <c r="A34" s="6" t="s">
        <v>50</v>
      </c>
      <c r="B34" s="7" t="s">
        <v>185</v>
      </c>
      <c r="C34" s="8">
        <v>904553.49</v>
      </c>
      <c r="D34" s="8">
        <v>207171.93</v>
      </c>
      <c r="E34" s="9">
        <v>0.229032259883271</v>
      </c>
      <c r="F34" s="10" t="s">
        <v>7</v>
      </c>
      <c r="G34" s="11">
        <f>(D34 / F34)</f>
        <v>59.191980000000001</v>
      </c>
    </row>
    <row r="35" spans="1:7" x14ac:dyDescent="0.25">
      <c r="A35" s="6" t="s">
        <v>51</v>
      </c>
      <c r="B35" s="7" t="s">
        <v>190</v>
      </c>
      <c r="C35" s="8">
        <v>884663.15</v>
      </c>
      <c r="D35" s="8">
        <v>260208.5</v>
      </c>
      <c r="E35" s="9">
        <v>0.294132857234983</v>
      </c>
      <c r="F35" s="10" t="s">
        <v>17</v>
      </c>
      <c r="G35" s="10" t="s">
        <v>17</v>
      </c>
    </row>
    <row r="36" spans="1:7" x14ac:dyDescent="0.25">
      <c r="A36" s="6" t="s">
        <v>52</v>
      </c>
      <c r="B36" s="7" t="s">
        <v>194</v>
      </c>
      <c r="C36" s="8">
        <v>852351.9</v>
      </c>
      <c r="D36" s="8">
        <v>162798.5</v>
      </c>
      <c r="E36" s="9">
        <v>0.190999163608364</v>
      </c>
      <c r="F36" s="10" t="s">
        <v>10</v>
      </c>
      <c r="G36" s="11">
        <f>(D36 / F36)</f>
        <v>325.59699999999998</v>
      </c>
    </row>
    <row r="37" spans="1:7" x14ac:dyDescent="0.25">
      <c r="A37" s="6" t="s">
        <v>53</v>
      </c>
      <c r="B37" s="7" t="s">
        <v>192</v>
      </c>
      <c r="C37" s="8">
        <v>846226.42</v>
      </c>
      <c r="D37" s="8">
        <v>185499.16</v>
      </c>
      <c r="E37" s="9">
        <v>0.21920747877382499</v>
      </c>
      <c r="F37" s="10" t="s">
        <v>17</v>
      </c>
      <c r="G37" s="10" t="s">
        <v>17</v>
      </c>
    </row>
    <row r="38" spans="1:7" x14ac:dyDescent="0.25">
      <c r="A38" s="6" t="s">
        <v>54</v>
      </c>
      <c r="B38" s="7" t="s">
        <v>193</v>
      </c>
      <c r="C38" s="8">
        <v>816643.9</v>
      </c>
      <c r="D38" s="8">
        <v>154323.98000000001</v>
      </c>
      <c r="E38" s="9">
        <v>0.18897340689130199</v>
      </c>
      <c r="F38" s="10" t="s">
        <v>9</v>
      </c>
      <c r="G38" s="11">
        <f>(D38 / F38)</f>
        <v>60.519207843137259</v>
      </c>
    </row>
    <row r="39" spans="1:7" x14ac:dyDescent="0.25">
      <c r="A39" s="6" t="s">
        <v>55</v>
      </c>
      <c r="B39" s="7" t="s">
        <v>301</v>
      </c>
      <c r="C39" s="8">
        <v>806673.53</v>
      </c>
      <c r="D39" s="8">
        <v>537692.68999999994</v>
      </c>
      <c r="E39" s="9">
        <v>0.666555514719815</v>
      </c>
      <c r="F39" s="10" t="s">
        <v>17</v>
      </c>
      <c r="G39" s="10" t="s">
        <v>17</v>
      </c>
    </row>
    <row r="40" spans="1:7" x14ac:dyDescent="0.25">
      <c r="A40" s="6" t="s">
        <v>56</v>
      </c>
      <c r="B40" s="7" t="s">
        <v>191</v>
      </c>
      <c r="C40" s="8">
        <v>803896.79</v>
      </c>
      <c r="D40" s="8">
        <v>172869.74</v>
      </c>
      <c r="E40" s="9">
        <v>0.21503971921569701</v>
      </c>
      <c r="F40" s="10" t="s">
        <v>8</v>
      </c>
      <c r="G40" s="11">
        <f>(D40 / F40)</f>
        <v>64.025829629629627</v>
      </c>
    </row>
    <row r="41" spans="1:7" x14ac:dyDescent="0.25">
      <c r="A41" s="6" t="s">
        <v>57</v>
      </c>
      <c r="B41" s="7" t="s">
        <v>195</v>
      </c>
      <c r="C41" s="8">
        <v>801929.91</v>
      </c>
      <c r="D41" s="8">
        <v>194266.85</v>
      </c>
      <c r="E41" s="9">
        <v>0.24224916364573601</v>
      </c>
      <c r="F41" s="10" t="s">
        <v>17</v>
      </c>
      <c r="G41" s="10" t="s">
        <v>17</v>
      </c>
    </row>
    <row r="42" spans="1:7" x14ac:dyDescent="0.25">
      <c r="A42" s="6" t="s">
        <v>58</v>
      </c>
      <c r="B42" s="7" t="s">
        <v>219</v>
      </c>
      <c r="C42" s="8">
        <v>794738.37</v>
      </c>
      <c r="D42" s="8">
        <v>314222.18</v>
      </c>
      <c r="E42" s="9">
        <v>0.395378141865731</v>
      </c>
      <c r="F42" s="10" t="s">
        <v>17</v>
      </c>
      <c r="G42" s="10" t="s">
        <v>17</v>
      </c>
    </row>
    <row r="43" spans="1:7" x14ac:dyDescent="0.25">
      <c r="A43" s="6" t="s">
        <v>59</v>
      </c>
      <c r="B43" s="7" t="s">
        <v>302</v>
      </c>
      <c r="C43" s="8">
        <v>757478.5</v>
      </c>
      <c r="D43" s="8">
        <v>406897.82</v>
      </c>
      <c r="E43" s="9">
        <v>0.53717408480900797</v>
      </c>
      <c r="F43" s="10" t="s">
        <v>17</v>
      </c>
      <c r="G43" s="10" t="s">
        <v>17</v>
      </c>
    </row>
    <row r="44" spans="1:7" x14ac:dyDescent="0.25">
      <c r="A44" s="6" t="s">
        <v>60</v>
      </c>
      <c r="B44" s="7" t="s">
        <v>252</v>
      </c>
      <c r="C44" s="8">
        <v>715675.73</v>
      </c>
      <c r="D44" s="8">
        <v>134429.18</v>
      </c>
      <c r="E44" s="9">
        <v>0.18783532033425299</v>
      </c>
      <c r="F44" s="10" t="s">
        <v>17</v>
      </c>
      <c r="G44" s="10" t="s">
        <v>17</v>
      </c>
    </row>
    <row r="45" spans="1:7" x14ac:dyDescent="0.25">
      <c r="A45" s="6" t="s">
        <v>61</v>
      </c>
      <c r="B45" s="7" t="s">
        <v>196</v>
      </c>
      <c r="C45" s="8">
        <v>706865.29</v>
      </c>
      <c r="D45" s="8">
        <v>94668.44</v>
      </c>
      <c r="E45" s="9">
        <v>0.133927130585235</v>
      </c>
      <c r="F45" s="10" t="s">
        <v>17</v>
      </c>
      <c r="G45" s="10" t="s">
        <v>17</v>
      </c>
    </row>
    <row r="46" spans="1:7" x14ac:dyDescent="0.25">
      <c r="A46" s="6" t="s">
        <v>62</v>
      </c>
      <c r="B46" s="7" t="s">
        <v>198</v>
      </c>
      <c r="C46" s="8">
        <v>693344.57</v>
      </c>
      <c r="D46" s="8">
        <v>110726.97</v>
      </c>
      <c r="E46" s="9">
        <v>0.15969977236570801</v>
      </c>
      <c r="F46" s="10" t="s">
        <v>17</v>
      </c>
      <c r="G46" s="10" t="s">
        <v>17</v>
      </c>
    </row>
    <row r="47" spans="1:7" x14ac:dyDescent="0.25">
      <c r="A47" s="6" t="s">
        <v>63</v>
      </c>
      <c r="B47" s="7" t="s">
        <v>201</v>
      </c>
      <c r="C47" s="8">
        <v>635990.46</v>
      </c>
      <c r="D47" s="8">
        <v>119981.19</v>
      </c>
      <c r="E47" s="9">
        <v>0.188652499598815</v>
      </c>
      <c r="F47" s="10" t="s">
        <v>13</v>
      </c>
      <c r="G47" s="11">
        <f>(D47 / F47)</f>
        <v>39.993729999999999</v>
      </c>
    </row>
    <row r="48" spans="1:7" x14ac:dyDescent="0.25">
      <c r="A48" s="6" t="s">
        <v>64</v>
      </c>
      <c r="B48" s="7" t="s">
        <v>213</v>
      </c>
      <c r="C48" s="8">
        <v>632520.03</v>
      </c>
      <c r="D48" s="8">
        <v>7093.76</v>
      </c>
      <c r="E48" s="9">
        <v>1.1215075671200499E-2</v>
      </c>
      <c r="F48" s="10" t="s">
        <v>17</v>
      </c>
      <c r="G48" s="10" t="s">
        <v>17</v>
      </c>
    </row>
    <row r="49" spans="1:7" x14ac:dyDescent="0.25">
      <c r="A49" s="6" t="s">
        <v>65</v>
      </c>
      <c r="B49" s="7" t="s">
        <v>197</v>
      </c>
      <c r="C49" s="8">
        <v>623342.21</v>
      </c>
      <c r="D49" s="8">
        <v>159627.99</v>
      </c>
      <c r="E49" s="9">
        <v>0.25608403769095001</v>
      </c>
      <c r="F49" s="10" t="s">
        <v>11</v>
      </c>
      <c r="G49" s="11">
        <f>(D49 / F49)</f>
        <v>42.416010564942773</v>
      </c>
    </row>
    <row r="50" spans="1:7" x14ac:dyDescent="0.25">
      <c r="A50" s="6" t="s">
        <v>66</v>
      </c>
      <c r="B50" s="7" t="s">
        <v>205</v>
      </c>
      <c r="C50" s="8">
        <v>591420.23</v>
      </c>
      <c r="D50" s="8">
        <v>86922.4</v>
      </c>
      <c r="E50" s="9">
        <v>0.146972314423536</v>
      </c>
      <c r="F50" s="10" t="s">
        <v>17</v>
      </c>
      <c r="G50" s="10" t="s">
        <v>17</v>
      </c>
    </row>
    <row r="51" spans="1:7" x14ac:dyDescent="0.25">
      <c r="A51" s="6" t="s">
        <v>67</v>
      </c>
      <c r="B51" s="7" t="s">
        <v>202</v>
      </c>
      <c r="C51" s="8">
        <v>563103.15</v>
      </c>
      <c r="D51" s="8">
        <v>115803</v>
      </c>
      <c r="E51" s="9">
        <v>0.20565148676579101</v>
      </c>
      <c r="F51" s="10" t="s">
        <v>17</v>
      </c>
      <c r="G51" s="10" t="s">
        <v>17</v>
      </c>
    </row>
    <row r="52" spans="1:7" x14ac:dyDescent="0.25">
      <c r="A52" s="6" t="s">
        <v>68</v>
      </c>
      <c r="B52" s="7" t="s">
        <v>203</v>
      </c>
      <c r="C52" s="8">
        <v>553619.80000000005</v>
      </c>
      <c r="D52" s="8">
        <v>64616.6</v>
      </c>
      <c r="E52" s="9">
        <v>0.116716562521788</v>
      </c>
      <c r="F52" s="10" t="s">
        <v>17</v>
      </c>
      <c r="G52" s="10" t="s">
        <v>17</v>
      </c>
    </row>
    <row r="53" spans="1:7" x14ac:dyDescent="0.25">
      <c r="A53" s="6" t="s">
        <v>69</v>
      </c>
      <c r="B53" s="7" t="s">
        <v>204</v>
      </c>
      <c r="C53" s="8">
        <v>523563.11</v>
      </c>
      <c r="D53" s="8">
        <v>104203.42</v>
      </c>
      <c r="E53" s="9">
        <v>0.19902742956813699</v>
      </c>
      <c r="F53" s="10" t="s">
        <v>17</v>
      </c>
      <c r="G53" s="10" t="s">
        <v>17</v>
      </c>
    </row>
    <row r="54" spans="1:7" x14ac:dyDescent="0.25">
      <c r="A54" s="6" t="s">
        <v>70</v>
      </c>
      <c r="B54" s="7" t="s">
        <v>237</v>
      </c>
      <c r="C54" s="8">
        <v>493420.93</v>
      </c>
      <c r="D54" s="8">
        <v>211352.86</v>
      </c>
      <c r="E54" s="9">
        <v>0.42834190272390799</v>
      </c>
      <c r="F54" s="10" t="s">
        <v>17</v>
      </c>
      <c r="G54" s="10" t="s">
        <v>17</v>
      </c>
    </row>
    <row r="55" spans="1:7" x14ac:dyDescent="0.25">
      <c r="A55" s="6" t="s">
        <v>71</v>
      </c>
      <c r="B55" s="7" t="s">
        <v>200</v>
      </c>
      <c r="C55" s="8">
        <v>476152.05</v>
      </c>
      <c r="D55" s="8">
        <v>95361.95</v>
      </c>
      <c r="E55" s="9">
        <v>0.20027625629250201</v>
      </c>
      <c r="F55" s="10" t="s">
        <v>17</v>
      </c>
      <c r="G55" s="10" t="s">
        <v>17</v>
      </c>
    </row>
    <row r="56" spans="1:7" x14ac:dyDescent="0.25">
      <c r="A56" s="6" t="s">
        <v>72</v>
      </c>
      <c r="B56" s="7" t="s">
        <v>215</v>
      </c>
      <c r="C56" s="8">
        <v>465805.06</v>
      </c>
      <c r="D56" s="8">
        <v>73004.539999999994</v>
      </c>
      <c r="E56" s="9">
        <v>0.15672766629027199</v>
      </c>
      <c r="F56" s="10" t="s">
        <v>17</v>
      </c>
      <c r="G56" s="10" t="s">
        <v>17</v>
      </c>
    </row>
    <row r="57" spans="1:7" x14ac:dyDescent="0.25">
      <c r="A57" s="6" t="s">
        <v>73</v>
      </c>
      <c r="B57" s="7" t="s">
        <v>207</v>
      </c>
      <c r="C57" s="8">
        <v>461121.61</v>
      </c>
      <c r="D57" s="8">
        <v>137588.20000000001</v>
      </c>
      <c r="E57" s="9">
        <v>0.29837725453812503</v>
      </c>
      <c r="F57" s="10" t="s">
        <v>17</v>
      </c>
      <c r="G57" s="10" t="s">
        <v>17</v>
      </c>
    </row>
    <row r="58" spans="1:7" x14ac:dyDescent="0.25">
      <c r="A58" s="6" t="s">
        <v>74</v>
      </c>
      <c r="B58" s="7" t="s">
        <v>208</v>
      </c>
      <c r="C58" s="8">
        <v>458808.45789999998</v>
      </c>
      <c r="D58" s="8">
        <v>94985.4</v>
      </c>
      <c r="E58" s="9">
        <v>0.207026261971619</v>
      </c>
      <c r="F58" s="10" t="s">
        <v>14</v>
      </c>
      <c r="G58" s="11">
        <f>(D58 / F58)</f>
        <v>37.994160000000001</v>
      </c>
    </row>
    <row r="59" spans="1:7" x14ac:dyDescent="0.25">
      <c r="A59" s="6" t="s">
        <v>75</v>
      </c>
      <c r="B59" s="7" t="s">
        <v>221</v>
      </c>
      <c r="C59" s="8">
        <v>454588.99</v>
      </c>
      <c r="D59" s="8">
        <v>162817.44</v>
      </c>
      <c r="E59" s="9">
        <v>0.35816406376230098</v>
      </c>
      <c r="F59" s="10" t="s">
        <v>17</v>
      </c>
      <c r="G59" s="10" t="s">
        <v>17</v>
      </c>
    </row>
    <row r="60" spans="1:7" x14ac:dyDescent="0.25">
      <c r="A60" s="6" t="s">
        <v>76</v>
      </c>
      <c r="B60" s="7" t="s">
        <v>250</v>
      </c>
      <c r="C60" s="8">
        <v>440772.54</v>
      </c>
      <c r="D60" s="8">
        <v>220091.46</v>
      </c>
      <c r="E60" s="9">
        <v>0.49933115161847402</v>
      </c>
      <c r="F60" s="10" t="s">
        <v>17</v>
      </c>
      <c r="G60" s="10" t="s">
        <v>17</v>
      </c>
    </row>
    <row r="61" spans="1:7" x14ac:dyDescent="0.25">
      <c r="A61" s="6" t="s">
        <v>77</v>
      </c>
      <c r="B61" s="7" t="s">
        <v>223</v>
      </c>
      <c r="C61" s="8">
        <v>430772.92</v>
      </c>
      <c r="D61" s="8">
        <v>57200.74</v>
      </c>
      <c r="E61" s="9">
        <v>0.13278629492308799</v>
      </c>
      <c r="F61" s="10" t="s">
        <v>17</v>
      </c>
      <c r="G61" s="10" t="s">
        <v>17</v>
      </c>
    </row>
    <row r="62" spans="1:7" x14ac:dyDescent="0.25">
      <c r="A62" s="6" t="s">
        <v>78</v>
      </c>
      <c r="B62" s="7" t="s">
        <v>214</v>
      </c>
      <c r="C62" s="8">
        <v>410993.67</v>
      </c>
      <c r="D62" s="8">
        <v>19167.599999999999</v>
      </c>
      <c r="E62" s="9">
        <v>4.6637214631553799E-2</v>
      </c>
      <c r="F62" s="10" t="s">
        <v>17</v>
      </c>
      <c r="G62" s="10" t="s">
        <v>17</v>
      </c>
    </row>
    <row r="63" spans="1:7" x14ac:dyDescent="0.25">
      <c r="A63" s="6" t="s">
        <v>79</v>
      </c>
      <c r="B63" s="7" t="s">
        <v>211</v>
      </c>
      <c r="C63" s="8">
        <v>405995.06</v>
      </c>
      <c r="D63" s="8">
        <v>62052</v>
      </c>
      <c r="E63" s="9">
        <v>0.15283929809392299</v>
      </c>
      <c r="F63" s="10" t="s">
        <v>17</v>
      </c>
      <c r="G63" s="10" t="s">
        <v>17</v>
      </c>
    </row>
    <row r="64" spans="1:7" x14ac:dyDescent="0.25">
      <c r="A64" s="6" t="s">
        <v>80</v>
      </c>
      <c r="B64" s="7" t="s">
        <v>304</v>
      </c>
      <c r="C64" s="8">
        <v>403714.79</v>
      </c>
      <c r="D64" s="8">
        <v>75865.62</v>
      </c>
      <c r="E64" s="9">
        <v>0.18791885231650801</v>
      </c>
      <c r="F64" s="10" t="s">
        <v>17</v>
      </c>
      <c r="G64" s="10" t="s">
        <v>17</v>
      </c>
    </row>
    <row r="65" spans="1:7" x14ac:dyDescent="0.25">
      <c r="A65" s="6" t="s">
        <v>81</v>
      </c>
      <c r="B65" s="7" t="s">
        <v>209</v>
      </c>
      <c r="C65" s="8">
        <v>401043.71</v>
      </c>
      <c r="D65" s="8">
        <v>67929.81</v>
      </c>
      <c r="E65" s="9">
        <v>0.169382559322524</v>
      </c>
      <c r="F65" s="10" t="s">
        <v>17</v>
      </c>
      <c r="G65" s="10" t="s">
        <v>17</v>
      </c>
    </row>
    <row r="66" spans="1:7" x14ac:dyDescent="0.25">
      <c r="A66" s="6" t="s">
        <v>82</v>
      </c>
      <c r="B66" s="7" t="s">
        <v>212</v>
      </c>
      <c r="C66" s="8">
        <v>396622.23</v>
      </c>
      <c r="D66" s="8">
        <v>75154.649999999994</v>
      </c>
      <c r="E66" s="9">
        <v>0.18948673149258399</v>
      </c>
      <c r="F66" s="10" t="s">
        <v>17</v>
      </c>
      <c r="G66" s="10" t="s">
        <v>17</v>
      </c>
    </row>
    <row r="67" spans="1:7" x14ac:dyDescent="0.25">
      <c r="A67" s="6" t="s">
        <v>83</v>
      </c>
      <c r="B67" s="7" t="s">
        <v>210</v>
      </c>
      <c r="C67" s="8">
        <v>375942.94099999999</v>
      </c>
      <c r="D67" s="8">
        <v>71528.41</v>
      </c>
      <c r="E67" s="9">
        <v>0.190264006047662</v>
      </c>
      <c r="F67" s="10" t="s">
        <v>17</v>
      </c>
      <c r="G67" s="10" t="s">
        <v>17</v>
      </c>
    </row>
    <row r="68" spans="1:7" x14ac:dyDescent="0.25">
      <c r="A68" s="6" t="s">
        <v>84</v>
      </c>
      <c r="B68" s="7" t="s">
        <v>218</v>
      </c>
      <c r="C68" s="8">
        <v>371362.46</v>
      </c>
      <c r="D68" s="8">
        <v>54267.68</v>
      </c>
      <c r="E68" s="9">
        <v>0.14613130255546</v>
      </c>
      <c r="F68" s="10" t="s">
        <v>17</v>
      </c>
      <c r="G68" s="10" t="s">
        <v>17</v>
      </c>
    </row>
    <row r="69" spans="1:7" x14ac:dyDescent="0.25">
      <c r="A69" s="6" t="s">
        <v>85</v>
      </c>
      <c r="B69" s="7" t="s">
        <v>220</v>
      </c>
      <c r="C69" s="8">
        <v>358718.38</v>
      </c>
      <c r="D69" s="8">
        <v>64364.02</v>
      </c>
      <c r="E69" s="9">
        <v>0.179427717085475</v>
      </c>
      <c r="F69" s="10" t="s">
        <v>17</v>
      </c>
      <c r="G69" s="10" t="s">
        <v>17</v>
      </c>
    </row>
    <row r="70" spans="1:7" x14ac:dyDescent="0.25">
      <c r="A70" s="6" t="s">
        <v>86</v>
      </c>
      <c r="B70" s="7" t="s">
        <v>222</v>
      </c>
      <c r="C70" s="8">
        <v>355088.26</v>
      </c>
      <c r="D70" s="8">
        <v>41499.72</v>
      </c>
      <c r="E70" s="9">
        <v>0.116871563143203</v>
      </c>
      <c r="F70" s="10" t="s">
        <v>17</v>
      </c>
      <c r="G70" s="10" t="s">
        <v>17</v>
      </c>
    </row>
    <row r="71" spans="1:7" x14ac:dyDescent="0.25">
      <c r="A71" s="6" t="s">
        <v>87</v>
      </c>
      <c r="B71" s="7" t="s">
        <v>217</v>
      </c>
      <c r="C71" s="8">
        <v>340832.5</v>
      </c>
      <c r="D71" s="8">
        <v>51019.98</v>
      </c>
      <c r="E71" s="9">
        <v>0.14969223885633001</v>
      </c>
      <c r="F71" s="10" t="s">
        <v>15</v>
      </c>
      <c r="G71" s="11">
        <f>(D71 / F71)</f>
        <v>51.019980000000004</v>
      </c>
    </row>
    <row r="72" spans="1:7" x14ac:dyDescent="0.25">
      <c r="A72" s="6" t="s">
        <v>88</v>
      </c>
      <c r="B72" s="7" t="s">
        <v>226</v>
      </c>
      <c r="C72" s="8">
        <v>321082.34999999998</v>
      </c>
      <c r="D72" s="8">
        <v>20571.72</v>
      </c>
      <c r="E72" s="9">
        <v>6.4069918511559396E-2</v>
      </c>
      <c r="F72" s="10" t="s">
        <v>17</v>
      </c>
      <c r="G72" s="10" t="s">
        <v>17</v>
      </c>
    </row>
    <row r="73" spans="1:7" x14ac:dyDescent="0.25">
      <c r="A73" s="6" t="s">
        <v>89</v>
      </c>
      <c r="B73" s="7" t="s">
        <v>216</v>
      </c>
      <c r="C73" s="8">
        <v>318738.09000000003</v>
      </c>
      <c r="D73" s="8">
        <v>167966.4</v>
      </c>
      <c r="E73" s="9">
        <v>0.52697310195966895</v>
      </c>
      <c r="F73" s="10" t="s">
        <v>17</v>
      </c>
      <c r="G73" s="10" t="s">
        <v>17</v>
      </c>
    </row>
    <row r="74" spans="1:7" x14ac:dyDescent="0.25">
      <c r="A74" s="6" t="s">
        <v>90</v>
      </c>
      <c r="B74" s="7" t="s">
        <v>227</v>
      </c>
      <c r="C74" s="8">
        <v>314805.64</v>
      </c>
      <c r="D74" s="8">
        <v>27703.24</v>
      </c>
      <c r="E74" s="9">
        <v>8.80010917212284E-2</v>
      </c>
      <c r="F74" s="10" t="s">
        <v>17</v>
      </c>
      <c r="G74" s="10" t="s">
        <v>17</v>
      </c>
    </row>
    <row r="75" spans="1:7" x14ac:dyDescent="0.25">
      <c r="A75" s="6" t="s">
        <v>91</v>
      </c>
      <c r="B75" s="7" t="s">
        <v>303</v>
      </c>
      <c r="C75" s="8">
        <v>310913.15000000002</v>
      </c>
      <c r="D75" s="8">
        <v>17939.97</v>
      </c>
      <c r="E75" s="9">
        <v>5.7700904577371502E-2</v>
      </c>
      <c r="F75" s="10" t="s">
        <v>17</v>
      </c>
      <c r="G75" s="10" t="s">
        <v>17</v>
      </c>
    </row>
    <row r="76" spans="1:7" x14ac:dyDescent="0.25">
      <c r="A76" s="6" t="s">
        <v>92</v>
      </c>
      <c r="B76" s="7" t="s">
        <v>224</v>
      </c>
      <c r="C76" s="8">
        <v>302589.84000000003</v>
      </c>
      <c r="D76" s="8">
        <v>59632.92</v>
      </c>
      <c r="E76" s="9">
        <v>0.197075090161653</v>
      </c>
      <c r="F76" s="10" t="s">
        <v>17</v>
      </c>
      <c r="G76" s="10" t="s">
        <v>17</v>
      </c>
    </row>
    <row r="77" spans="1:7" x14ac:dyDescent="0.25">
      <c r="A77" s="6" t="s">
        <v>93</v>
      </c>
      <c r="B77" s="7" t="s">
        <v>228</v>
      </c>
      <c r="C77" s="8">
        <v>293852.75</v>
      </c>
      <c r="D77" s="8">
        <v>14642.02</v>
      </c>
      <c r="E77" s="9">
        <v>4.9827745358857499E-2</v>
      </c>
      <c r="F77" s="10" t="s">
        <v>17</v>
      </c>
      <c r="G77" s="10" t="s">
        <v>17</v>
      </c>
    </row>
    <row r="78" spans="1:7" x14ac:dyDescent="0.25">
      <c r="A78" s="6" t="s">
        <v>94</v>
      </c>
      <c r="B78" s="7" t="s">
        <v>229</v>
      </c>
      <c r="C78" s="8">
        <v>285183.37</v>
      </c>
      <c r="D78" s="8">
        <v>28464.1</v>
      </c>
      <c r="E78" s="9">
        <v>9.9809817101186499E-2</v>
      </c>
      <c r="F78" s="10" t="s">
        <v>17</v>
      </c>
      <c r="G78" s="10" t="s">
        <v>17</v>
      </c>
    </row>
    <row r="79" spans="1:7" x14ac:dyDescent="0.25">
      <c r="A79" s="6" t="s">
        <v>95</v>
      </c>
      <c r="B79" s="7" t="s">
        <v>254</v>
      </c>
      <c r="C79" s="8">
        <v>277520.74</v>
      </c>
      <c r="D79" s="8">
        <v>43360.81</v>
      </c>
      <c r="E79" s="9">
        <v>0.15624349372951399</v>
      </c>
      <c r="F79" s="10" t="s">
        <v>17</v>
      </c>
      <c r="G79" s="10" t="s">
        <v>17</v>
      </c>
    </row>
    <row r="80" spans="1:7" x14ac:dyDescent="0.25">
      <c r="A80" s="6" t="s">
        <v>96</v>
      </c>
      <c r="B80" s="7" t="s">
        <v>232</v>
      </c>
      <c r="C80" s="8">
        <v>277328.76</v>
      </c>
      <c r="D80" s="8">
        <v>13074.25</v>
      </c>
      <c r="E80" s="9">
        <v>4.7143505779927E-2</v>
      </c>
      <c r="F80" s="10" t="s">
        <v>17</v>
      </c>
      <c r="G80" s="10" t="s">
        <v>17</v>
      </c>
    </row>
    <row r="81" spans="1:7" x14ac:dyDescent="0.25">
      <c r="A81" s="6" t="s">
        <v>97</v>
      </c>
      <c r="B81" s="7" t="s">
        <v>231</v>
      </c>
      <c r="C81" s="8">
        <v>275097.33</v>
      </c>
      <c r="D81" s="8">
        <v>22706.69</v>
      </c>
      <c r="E81" s="9">
        <v>8.2540568459897504E-2</v>
      </c>
      <c r="F81" s="10" t="s">
        <v>17</v>
      </c>
      <c r="G81" s="10" t="s">
        <v>17</v>
      </c>
    </row>
    <row r="82" spans="1:7" x14ac:dyDescent="0.25">
      <c r="A82" s="6" t="s">
        <v>98</v>
      </c>
      <c r="B82" s="7" t="s">
        <v>234</v>
      </c>
      <c r="C82" s="8">
        <v>263173.34000000003</v>
      </c>
      <c r="D82" s="8">
        <v>25526.33</v>
      </c>
      <c r="E82" s="9">
        <v>9.6994361206951998E-2</v>
      </c>
      <c r="F82" s="10" t="s">
        <v>17</v>
      </c>
      <c r="G82" s="10" t="s">
        <v>17</v>
      </c>
    </row>
    <row r="83" spans="1:7" x14ac:dyDescent="0.25">
      <c r="A83" s="6" t="s">
        <v>99</v>
      </c>
      <c r="B83" s="7" t="s">
        <v>233</v>
      </c>
      <c r="C83" s="8">
        <v>254909.72</v>
      </c>
      <c r="D83" s="8">
        <v>47247.97</v>
      </c>
      <c r="E83" s="9">
        <v>0.18535177866108801</v>
      </c>
      <c r="F83" s="10" t="s">
        <v>17</v>
      </c>
      <c r="G83" s="10" t="s">
        <v>17</v>
      </c>
    </row>
    <row r="84" spans="1:7" x14ac:dyDescent="0.25">
      <c r="A84" s="12" t="s">
        <v>100</v>
      </c>
      <c r="B84" s="13" t="s">
        <v>225</v>
      </c>
      <c r="C84" s="14">
        <v>248174.44</v>
      </c>
      <c r="D84" s="14">
        <v>47312.81</v>
      </c>
      <c r="E84" s="15">
        <v>0.190643363595381</v>
      </c>
      <c r="F84" s="16" t="s">
        <v>12</v>
      </c>
      <c r="G84" s="17">
        <f>(D84 / F84)</f>
        <v>10.513957777777778</v>
      </c>
    </row>
    <row r="85" spans="1:7" x14ac:dyDescent="0.25">
      <c r="A85" s="6" t="s">
        <v>101</v>
      </c>
      <c r="B85" s="7" t="s">
        <v>235</v>
      </c>
      <c r="C85" s="8">
        <v>237447.76</v>
      </c>
      <c r="D85" s="8">
        <v>25483.22</v>
      </c>
      <c r="E85" s="9">
        <v>0.107321374604671</v>
      </c>
      <c r="F85" s="10" t="s">
        <v>17</v>
      </c>
      <c r="G85" s="10" t="s">
        <v>17</v>
      </c>
    </row>
    <row r="86" spans="1:7" x14ac:dyDescent="0.25">
      <c r="A86" s="6" t="s">
        <v>102</v>
      </c>
      <c r="B86" s="7" t="s">
        <v>236</v>
      </c>
      <c r="C86" s="8">
        <v>225207.56</v>
      </c>
      <c r="D86" s="8">
        <v>73904.289999999994</v>
      </c>
      <c r="E86" s="9">
        <v>0.32816078643185898</v>
      </c>
      <c r="F86" s="10" t="s">
        <v>17</v>
      </c>
      <c r="G86" s="10" t="s">
        <v>17</v>
      </c>
    </row>
    <row r="87" spans="1:7" x14ac:dyDescent="0.25">
      <c r="A87" s="6" t="s">
        <v>103</v>
      </c>
      <c r="B87" s="7" t="s">
        <v>305</v>
      </c>
      <c r="C87" s="8">
        <v>212844.82</v>
      </c>
      <c r="D87" s="8">
        <v>158784.04999999999</v>
      </c>
      <c r="E87" s="9">
        <v>0.74600852395656103</v>
      </c>
      <c r="F87" s="10" t="s">
        <v>17</v>
      </c>
      <c r="G87" s="10" t="s">
        <v>17</v>
      </c>
    </row>
    <row r="88" spans="1:7" x14ac:dyDescent="0.25">
      <c r="A88" s="12" t="s">
        <v>104</v>
      </c>
      <c r="B88" s="13" t="s">
        <v>230</v>
      </c>
      <c r="C88" s="14">
        <v>205219.12</v>
      </c>
      <c r="D88" s="14">
        <v>47563.53</v>
      </c>
      <c r="E88" s="15">
        <v>0.231769486196023</v>
      </c>
      <c r="F88" s="16" t="s">
        <v>292</v>
      </c>
      <c r="G88" s="17">
        <f>(D88 / F88)</f>
        <v>12.855008108108107</v>
      </c>
    </row>
    <row r="89" spans="1:7" x14ac:dyDescent="0.25">
      <c r="A89" s="6" t="s">
        <v>105</v>
      </c>
      <c r="B89" s="7" t="s">
        <v>238</v>
      </c>
      <c r="C89" s="8">
        <v>197814.59</v>
      </c>
      <c r="D89" s="8">
        <v>12274.85</v>
      </c>
      <c r="E89" s="9">
        <v>6.2052298569079303E-2</v>
      </c>
      <c r="F89" s="10" t="s">
        <v>17</v>
      </c>
      <c r="G89" s="10" t="s">
        <v>17</v>
      </c>
    </row>
    <row r="90" spans="1:7" x14ac:dyDescent="0.25">
      <c r="A90" s="6" t="s">
        <v>106</v>
      </c>
      <c r="B90" s="7" t="s">
        <v>239</v>
      </c>
      <c r="C90" s="8">
        <v>191990.36</v>
      </c>
      <c r="D90" s="8">
        <v>159630.76999999999</v>
      </c>
      <c r="E90" s="9">
        <v>0.83145200623614601</v>
      </c>
      <c r="F90" s="10" t="s">
        <v>17</v>
      </c>
      <c r="G90" s="10" t="s">
        <v>17</v>
      </c>
    </row>
    <row r="91" spans="1:7" x14ac:dyDescent="0.25">
      <c r="A91" s="6" t="s">
        <v>107</v>
      </c>
      <c r="B91" s="7" t="s">
        <v>275</v>
      </c>
      <c r="C91" s="8">
        <v>183721.52</v>
      </c>
      <c r="D91" s="8">
        <v>20125.830000000002</v>
      </c>
      <c r="E91" s="9">
        <v>0.109545305307729</v>
      </c>
      <c r="F91" s="10" t="s">
        <v>17</v>
      </c>
      <c r="G91" s="10" t="s">
        <v>17</v>
      </c>
    </row>
    <row r="92" spans="1:7" x14ac:dyDescent="0.25">
      <c r="A92" s="6" t="s">
        <v>108</v>
      </c>
      <c r="B92" s="7" t="s">
        <v>240</v>
      </c>
      <c r="C92" s="8">
        <v>160606.82999999999</v>
      </c>
      <c r="D92" s="8">
        <v>12123.28</v>
      </c>
      <c r="E92" s="9">
        <v>7.5484211972803403E-2</v>
      </c>
      <c r="F92" s="10" t="s">
        <v>17</v>
      </c>
      <c r="G92" s="10" t="s">
        <v>17</v>
      </c>
    </row>
    <row r="93" spans="1:7" x14ac:dyDescent="0.25">
      <c r="A93" s="6" t="s">
        <v>109</v>
      </c>
      <c r="B93" s="7" t="s">
        <v>276</v>
      </c>
      <c r="C93" s="8">
        <v>153414.04</v>
      </c>
      <c r="D93" s="8">
        <v>19500.740000000002</v>
      </c>
      <c r="E93" s="9">
        <v>0.12711183409289001</v>
      </c>
      <c r="F93" s="10" t="s">
        <v>17</v>
      </c>
      <c r="G93" s="10" t="s">
        <v>17</v>
      </c>
    </row>
    <row r="94" spans="1:7" x14ac:dyDescent="0.25">
      <c r="A94" s="6" t="s">
        <v>110</v>
      </c>
      <c r="B94" s="7" t="s">
        <v>307</v>
      </c>
      <c r="C94" s="8">
        <v>151577.37</v>
      </c>
      <c r="D94" s="8">
        <v>94731.839999999997</v>
      </c>
      <c r="E94" s="9">
        <v>0.62497350363052195</v>
      </c>
      <c r="F94" s="10" t="s">
        <v>17</v>
      </c>
      <c r="G94" s="10" t="s">
        <v>17</v>
      </c>
    </row>
    <row r="95" spans="1:7" x14ac:dyDescent="0.25">
      <c r="A95" s="6" t="s">
        <v>111</v>
      </c>
      <c r="B95" s="7" t="s">
        <v>243</v>
      </c>
      <c r="C95" s="8">
        <v>148680.54</v>
      </c>
      <c r="D95" s="8">
        <v>11071.48</v>
      </c>
      <c r="E95" s="9">
        <v>7.4464889621735295E-2</v>
      </c>
      <c r="F95" s="10" t="s">
        <v>17</v>
      </c>
      <c r="G95" s="10" t="s">
        <v>17</v>
      </c>
    </row>
    <row r="96" spans="1:7" x14ac:dyDescent="0.25">
      <c r="A96" s="6" t="s">
        <v>112</v>
      </c>
      <c r="B96" s="7" t="s">
        <v>241</v>
      </c>
      <c r="C96" s="8">
        <v>143848.09</v>
      </c>
      <c r="D96" s="8">
        <v>18948.39</v>
      </c>
      <c r="E96" s="9">
        <v>0.13172500239662599</v>
      </c>
      <c r="F96" s="10" t="s">
        <v>16</v>
      </c>
      <c r="G96" s="11">
        <f>(D96 / F96)</f>
        <v>52.928463687150838</v>
      </c>
    </row>
    <row r="97" spans="1:7" x14ac:dyDescent="0.25">
      <c r="A97" s="6" t="s">
        <v>113</v>
      </c>
      <c r="B97" s="7" t="s">
        <v>244</v>
      </c>
      <c r="C97" s="8">
        <v>142098.25</v>
      </c>
      <c r="D97" s="8">
        <v>6028.75</v>
      </c>
      <c r="E97" s="9">
        <v>4.2426630869838299E-2</v>
      </c>
      <c r="F97" s="10" t="s">
        <v>17</v>
      </c>
      <c r="G97" s="10" t="s">
        <v>17</v>
      </c>
    </row>
    <row r="98" spans="1:7" x14ac:dyDescent="0.25">
      <c r="A98" s="6" t="s">
        <v>114</v>
      </c>
      <c r="B98" s="7" t="s">
        <v>320</v>
      </c>
      <c r="C98" s="8">
        <v>139196.29</v>
      </c>
      <c r="D98" s="8">
        <v>139196.29</v>
      </c>
      <c r="E98" s="9">
        <v>1</v>
      </c>
      <c r="F98" s="10" t="s">
        <v>17</v>
      </c>
      <c r="G98" s="10" t="s">
        <v>17</v>
      </c>
    </row>
    <row r="99" spans="1:7" x14ac:dyDescent="0.25">
      <c r="A99" s="6" t="s">
        <v>115</v>
      </c>
      <c r="B99" s="7" t="s">
        <v>246</v>
      </c>
      <c r="C99" s="8">
        <v>134354.14000000001</v>
      </c>
      <c r="D99" s="8">
        <v>9523.59</v>
      </c>
      <c r="E99" s="9">
        <v>7.0884231777301396E-2</v>
      </c>
      <c r="F99" s="10" t="s">
        <v>17</v>
      </c>
      <c r="G99" s="10" t="s">
        <v>17</v>
      </c>
    </row>
    <row r="100" spans="1:7" x14ac:dyDescent="0.25">
      <c r="A100" s="6" t="s">
        <v>116</v>
      </c>
      <c r="B100" s="7" t="s">
        <v>242</v>
      </c>
      <c r="C100" s="8">
        <v>132308.47</v>
      </c>
      <c r="D100" s="8">
        <v>48176.18</v>
      </c>
      <c r="E100" s="9">
        <v>0.36412015043330198</v>
      </c>
      <c r="F100" s="10" t="s">
        <v>17</v>
      </c>
      <c r="G100" s="10" t="s">
        <v>17</v>
      </c>
    </row>
    <row r="101" spans="1:7" x14ac:dyDescent="0.25">
      <c r="A101" s="6" t="s">
        <v>117</v>
      </c>
      <c r="B101" s="7" t="s">
        <v>245</v>
      </c>
      <c r="C101" s="8">
        <v>126723.86</v>
      </c>
      <c r="D101" s="8">
        <v>8442.65</v>
      </c>
      <c r="E101" s="9">
        <v>6.6622418224949895E-2</v>
      </c>
      <c r="F101" s="10" t="s">
        <v>17</v>
      </c>
      <c r="G101" s="10" t="s">
        <v>17</v>
      </c>
    </row>
    <row r="102" spans="1:7" x14ac:dyDescent="0.25">
      <c r="A102" s="6" t="s">
        <v>118</v>
      </c>
      <c r="B102" s="7" t="s">
        <v>247</v>
      </c>
      <c r="C102" s="8">
        <v>125342.22</v>
      </c>
      <c r="D102" s="8">
        <v>20512.46</v>
      </c>
      <c r="E102" s="9">
        <v>0.16365164108310801</v>
      </c>
      <c r="F102" s="10" t="s">
        <v>17</v>
      </c>
      <c r="G102" s="10" t="s">
        <v>17</v>
      </c>
    </row>
    <row r="103" spans="1:7" x14ac:dyDescent="0.25">
      <c r="A103" s="6" t="s">
        <v>119</v>
      </c>
      <c r="B103" s="7" t="s">
        <v>306</v>
      </c>
      <c r="C103" s="8">
        <v>124708.19</v>
      </c>
      <c r="D103" s="8">
        <v>12069.74</v>
      </c>
      <c r="E103" s="9">
        <v>9.6783859985458895E-2</v>
      </c>
      <c r="F103" s="10" t="s">
        <v>17</v>
      </c>
      <c r="G103" s="10" t="s">
        <v>17</v>
      </c>
    </row>
    <row r="104" spans="1:7" x14ac:dyDescent="0.25">
      <c r="A104" s="6" t="s">
        <v>120</v>
      </c>
      <c r="B104" s="7" t="s">
        <v>248</v>
      </c>
      <c r="C104" s="8">
        <v>111173.51</v>
      </c>
      <c r="D104" s="8">
        <v>4190.75</v>
      </c>
      <c r="E104" s="9">
        <v>3.7695580538925098E-2</v>
      </c>
      <c r="F104" s="10" t="s">
        <v>17</v>
      </c>
      <c r="G104" s="10" t="s">
        <v>17</v>
      </c>
    </row>
    <row r="105" spans="1:7" x14ac:dyDescent="0.25">
      <c r="A105" s="6" t="s">
        <v>121</v>
      </c>
      <c r="B105" s="7" t="s">
        <v>295</v>
      </c>
      <c r="C105" s="8">
        <v>110313.88</v>
      </c>
      <c r="D105" s="8">
        <v>12125.86</v>
      </c>
      <c r="E105" s="9">
        <v>0.109921435090489</v>
      </c>
      <c r="F105" s="10" t="s">
        <v>17</v>
      </c>
      <c r="G105" s="10" t="s">
        <v>17</v>
      </c>
    </row>
    <row r="106" spans="1:7" x14ac:dyDescent="0.25">
      <c r="A106" s="6" t="s">
        <v>122</v>
      </c>
      <c r="B106" s="7" t="s">
        <v>249</v>
      </c>
      <c r="C106" s="8">
        <v>100869.83</v>
      </c>
      <c r="D106" s="8">
        <v>13387.25</v>
      </c>
      <c r="E106" s="9">
        <v>0.13271807833918201</v>
      </c>
      <c r="F106" s="10" t="s">
        <v>17</v>
      </c>
      <c r="G106" s="10" t="s">
        <v>17</v>
      </c>
    </row>
    <row r="107" spans="1:7" x14ac:dyDescent="0.25">
      <c r="A107" s="6" t="s">
        <v>123</v>
      </c>
      <c r="B107" s="7" t="s">
        <v>309</v>
      </c>
      <c r="C107" s="8">
        <v>96440.41</v>
      </c>
      <c r="D107" s="8">
        <v>12430.28</v>
      </c>
      <c r="E107" s="9">
        <v>0.128890783438187</v>
      </c>
      <c r="F107" s="10" t="s">
        <v>17</v>
      </c>
      <c r="G107" s="10" t="s">
        <v>17</v>
      </c>
    </row>
    <row r="108" spans="1:7" x14ac:dyDescent="0.25">
      <c r="A108" s="6" t="s">
        <v>124</v>
      </c>
      <c r="B108" s="7" t="s">
        <v>317</v>
      </c>
      <c r="C108" s="8">
        <v>88476.32</v>
      </c>
      <c r="D108" s="8">
        <v>596.53</v>
      </c>
      <c r="E108" s="9">
        <v>6.7422560070310297E-3</v>
      </c>
      <c r="F108" s="10" t="s">
        <v>17</v>
      </c>
      <c r="G108" s="10" t="s">
        <v>17</v>
      </c>
    </row>
    <row r="109" spans="1:7" x14ac:dyDescent="0.25">
      <c r="A109" s="6" t="s">
        <v>125</v>
      </c>
      <c r="B109" s="7" t="s">
        <v>253</v>
      </c>
      <c r="C109" s="8">
        <v>82500.88</v>
      </c>
      <c r="D109" s="8">
        <v>6066.44</v>
      </c>
      <c r="E109" s="9">
        <v>7.3531821721174395E-2</v>
      </c>
      <c r="F109" s="10" t="s">
        <v>17</v>
      </c>
      <c r="G109" s="10" t="s">
        <v>17</v>
      </c>
    </row>
    <row r="110" spans="1:7" x14ac:dyDescent="0.25">
      <c r="A110" s="6" t="s">
        <v>126</v>
      </c>
      <c r="B110" s="7" t="s">
        <v>230</v>
      </c>
      <c r="C110" s="8">
        <v>73405.710000000006</v>
      </c>
      <c r="D110" s="8">
        <v>8533.36</v>
      </c>
      <c r="E110" s="9">
        <v>0.116249267257275</v>
      </c>
      <c r="F110" s="10" t="s">
        <v>17</v>
      </c>
      <c r="G110" s="10" t="s">
        <v>17</v>
      </c>
    </row>
    <row r="111" spans="1:7" x14ac:dyDescent="0.25">
      <c r="A111" s="6" t="s">
        <v>127</v>
      </c>
      <c r="B111" s="7" t="s">
        <v>321</v>
      </c>
      <c r="C111" s="8">
        <v>71198.31</v>
      </c>
      <c r="D111" s="8">
        <v>42678.47</v>
      </c>
      <c r="E111" s="9">
        <v>0.59943094154903398</v>
      </c>
      <c r="F111" s="10" t="s">
        <v>17</v>
      </c>
      <c r="G111" s="10" t="s">
        <v>17</v>
      </c>
    </row>
    <row r="112" spans="1:7" x14ac:dyDescent="0.25">
      <c r="A112" s="6" t="s">
        <v>128</v>
      </c>
      <c r="B112" s="7" t="s">
        <v>256</v>
      </c>
      <c r="C112" s="8">
        <v>71098.45</v>
      </c>
      <c r="D112" s="8">
        <v>4746.34</v>
      </c>
      <c r="E112" s="9">
        <v>6.6757292177255595E-2</v>
      </c>
      <c r="F112" s="10" t="s">
        <v>17</v>
      </c>
      <c r="G112" s="10" t="s">
        <v>17</v>
      </c>
    </row>
    <row r="113" spans="1:7" x14ac:dyDescent="0.25">
      <c r="A113" s="6" t="s">
        <v>129</v>
      </c>
      <c r="B113" s="7" t="s">
        <v>255</v>
      </c>
      <c r="C113" s="8">
        <v>70702.63</v>
      </c>
      <c r="D113" s="8">
        <v>522.25</v>
      </c>
      <c r="E113" s="9">
        <v>7.3865710511758897E-3</v>
      </c>
      <c r="F113" s="10" t="s">
        <v>17</v>
      </c>
      <c r="G113" s="10" t="s">
        <v>17</v>
      </c>
    </row>
    <row r="114" spans="1:7" x14ac:dyDescent="0.25">
      <c r="A114" s="6" t="s">
        <v>130</v>
      </c>
      <c r="B114" s="7" t="s">
        <v>258</v>
      </c>
      <c r="C114" s="8">
        <v>65871.649999999994</v>
      </c>
      <c r="D114" s="8">
        <v>4350.59</v>
      </c>
      <c r="E114" s="9">
        <v>6.6046470674409996E-2</v>
      </c>
      <c r="F114" s="10" t="s">
        <v>17</v>
      </c>
      <c r="G114" s="10" t="s">
        <v>17</v>
      </c>
    </row>
    <row r="115" spans="1:7" x14ac:dyDescent="0.25">
      <c r="A115" s="6" t="s">
        <v>131</v>
      </c>
      <c r="B115" s="7" t="s">
        <v>257</v>
      </c>
      <c r="C115" s="8">
        <v>54975.17</v>
      </c>
      <c r="D115" s="8">
        <v>1632.8</v>
      </c>
      <c r="E115" s="9">
        <v>2.9700681234819299E-2</v>
      </c>
      <c r="F115" s="10" t="s">
        <v>17</v>
      </c>
      <c r="G115" s="10" t="s">
        <v>17</v>
      </c>
    </row>
    <row r="116" spans="1:7" x14ac:dyDescent="0.25">
      <c r="A116" s="6" t="s">
        <v>132</v>
      </c>
      <c r="B116" s="7" t="s">
        <v>259</v>
      </c>
      <c r="C116" s="8">
        <v>53152.39</v>
      </c>
      <c r="D116" s="8">
        <v>3779.41</v>
      </c>
      <c r="E116" s="9">
        <v>7.1105175138878998E-2</v>
      </c>
      <c r="F116" s="10" t="s">
        <v>17</v>
      </c>
      <c r="G116" s="10" t="s">
        <v>17</v>
      </c>
    </row>
    <row r="117" spans="1:7" x14ac:dyDescent="0.25">
      <c r="A117" s="6" t="s">
        <v>133</v>
      </c>
      <c r="B117" s="7" t="s">
        <v>262</v>
      </c>
      <c r="C117" s="8">
        <v>50304.56</v>
      </c>
      <c r="D117" s="8">
        <v>6356.93</v>
      </c>
      <c r="E117" s="9">
        <v>0.12636886198785999</v>
      </c>
      <c r="F117" s="10" t="s">
        <v>17</v>
      </c>
      <c r="G117" s="10" t="s">
        <v>17</v>
      </c>
    </row>
    <row r="118" spans="1:7" x14ac:dyDescent="0.25">
      <c r="A118" s="6" t="s">
        <v>134</v>
      </c>
      <c r="B118" s="7" t="s">
        <v>291</v>
      </c>
      <c r="C118" s="8">
        <v>48769.37</v>
      </c>
      <c r="D118" s="8">
        <v>7051.89</v>
      </c>
      <c r="E118" s="9">
        <v>0.144596700757053</v>
      </c>
      <c r="F118" s="10" t="s">
        <v>17</v>
      </c>
      <c r="G118" s="10" t="s">
        <v>17</v>
      </c>
    </row>
    <row r="119" spans="1:7" x14ac:dyDescent="0.25">
      <c r="A119" s="6" t="s">
        <v>135</v>
      </c>
      <c r="B119" s="7" t="s">
        <v>260</v>
      </c>
      <c r="C119" s="8">
        <v>41188.58</v>
      </c>
      <c r="D119" s="8">
        <v>374.28</v>
      </c>
      <c r="E119" s="9">
        <v>9.0869847904443395E-3</v>
      </c>
      <c r="F119" s="10" t="s">
        <v>17</v>
      </c>
      <c r="G119" s="10" t="s">
        <v>17</v>
      </c>
    </row>
    <row r="120" spans="1:7" x14ac:dyDescent="0.25">
      <c r="A120" s="6" t="s">
        <v>136</v>
      </c>
      <c r="B120" s="7" t="s">
        <v>283</v>
      </c>
      <c r="C120" s="8">
        <v>40499.35</v>
      </c>
      <c r="D120" s="8">
        <v>509.96</v>
      </c>
      <c r="E120" s="9">
        <v>1.25918070290017E-2</v>
      </c>
      <c r="F120" s="10" t="s">
        <v>17</v>
      </c>
      <c r="G120" s="10" t="s">
        <v>17</v>
      </c>
    </row>
    <row r="121" spans="1:7" x14ac:dyDescent="0.25">
      <c r="A121" s="6" t="s">
        <v>137</v>
      </c>
      <c r="B121" s="7" t="s">
        <v>310</v>
      </c>
      <c r="C121" s="8">
        <v>40402.080000000002</v>
      </c>
      <c r="D121" s="8">
        <v>8076.46</v>
      </c>
      <c r="E121" s="9">
        <v>0.199902084249128</v>
      </c>
      <c r="F121" s="10" t="s">
        <v>17</v>
      </c>
      <c r="G121" s="10" t="s">
        <v>17</v>
      </c>
    </row>
    <row r="122" spans="1:7" x14ac:dyDescent="0.25">
      <c r="A122" s="6" t="s">
        <v>138</v>
      </c>
      <c r="B122" s="7" t="s">
        <v>263</v>
      </c>
      <c r="C122" s="8">
        <v>36551.279999999999</v>
      </c>
      <c r="D122" s="8">
        <v>1037.97</v>
      </c>
      <c r="E122" s="9">
        <v>2.8397637510916202E-2</v>
      </c>
      <c r="F122" s="10" t="s">
        <v>17</v>
      </c>
      <c r="G122" s="10" t="s">
        <v>17</v>
      </c>
    </row>
    <row r="123" spans="1:7" x14ac:dyDescent="0.25">
      <c r="A123" s="6" t="s">
        <v>139</v>
      </c>
      <c r="B123" s="7" t="s">
        <v>251</v>
      </c>
      <c r="C123" s="8">
        <v>35534.11</v>
      </c>
      <c r="D123" s="8">
        <v>1965.27</v>
      </c>
      <c r="E123" s="9">
        <v>5.5306577257739097E-2</v>
      </c>
      <c r="F123" s="10" t="s">
        <v>17</v>
      </c>
      <c r="G123" s="10" t="s">
        <v>17</v>
      </c>
    </row>
    <row r="124" spans="1:7" x14ac:dyDescent="0.25">
      <c r="A124" s="6" t="s">
        <v>140</v>
      </c>
      <c r="B124" s="7" t="s">
        <v>266</v>
      </c>
      <c r="C124" s="8">
        <v>34209.480000000003</v>
      </c>
      <c r="D124" s="8">
        <v>11665.78</v>
      </c>
      <c r="E124" s="9">
        <v>0.34101015274128699</v>
      </c>
      <c r="F124" s="10" t="s">
        <v>17</v>
      </c>
      <c r="G124" s="10" t="s">
        <v>17</v>
      </c>
    </row>
    <row r="125" spans="1:7" x14ac:dyDescent="0.25">
      <c r="A125" s="6" t="s">
        <v>141</v>
      </c>
      <c r="B125" s="7" t="s">
        <v>265</v>
      </c>
      <c r="C125" s="8">
        <v>31398.87</v>
      </c>
      <c r="D125" s="8">
        <v>4948.3900000000003</v>
      </c>
      <c r="E125" s="9">
        <v>0.157597709726497</v>
      </c>
      <c r="F125" s="10" t="s">
        <v>17</v>
      </c>
      <c r="G125" s="10" t="s">
        <v>17</v>
      </c>
    </row>
    <row r="126" spans="1:7" x14ac:dyDescent="0.25">
      <c r="A126" s="6" t="s">
        <v>142</v>
      </c>
      <c r="B126" s="7" t="s">
        <v>264</v>
      </c>
      <c r="C126" s="8">
        <v>30431.62</v>
      </c>
      <c r="D126" s="8">
        <v>1334.88</v>
      </c>
      <c r="E126" s="9">
        <v>4.3864901047003101E-2</v>
      </c>
      <c r="F126" s="10" t="s">
        <v>17</v>
      </c>
      <c r="G126" s="10" t="s">
        <v>17</v>
      </c>
    </row>
    <row r="127" spans="1:7" x14ac:dyDescent="0.25">
      <c r="A127" s="6" t="s">
        <v>143</v>
      </c>
      <c r="B127" s="7" t="s">
        <v>311</v>
      </c>
      <c r="C127" s="8">
        <v>27793.25</v>
      </c>
      <c r="D127" s="8">
        <v>2404.2800000000002</v>
      </c>
      <c r="E127" s="9">
        <v>8.6505896215807801E-2</v>
      </c>
      <c r="F127" s="10" t="s">
        <v>17</v>
      </c>
      <c r="G127" s="10" t="s">
        <v>17</v>
      </c>
    </row>
    <row r="128" spans="1:7" x14ac:dyDescent="0.25">
      <c r="A128" s="6" t="s">
        <v>144</v>
      </c>
      <c r="B128" s="7" t="s">
        <v>267</v>
      </c>
      <c r="C128" s="8">
        <v>17185.669999999998</v>
      </c>
      <c r="D128" s="8">
        <v>1257.6300000000001</v>
      </c>
      <c r="E128" s="9">
        <v>7.3178991566811194E-2</v>
      </c>
      <c r="F128" s="10" t="s">
        <v>17</v>
      </c>
      <c r="G128" s="10" t="s">
        <v>17</v>
      </c>
    </row>
    <row r="129" spans="1:7" x14ac:dyDescent="0.25">
      <c r="A129" s="6" t="s">
        <v>145</v>
      </c>
      <c r="B129" s="7" t="s">
        <v>268</v>
      </c>
      <c r="C129" s="8">
        <v>17115.11</v>
      </c>
      <c r="D129" s="8">
        <v>889.39</v>
      </c>
      <c r="E129" s="9">
        <v>5.19651933291694E-2</v>
      </c>
      <c r="F129" s="10" t="s">
        <v>17</v>
      </c>
      <c r="G129" s="10" t="s">
        <v>17</v>
      </c>
    </row>
    <row r="130" spans="1:7" x14ac:dyDescent="0.25">
      <c r="A130" s="6" t="s">
        <v>146</v>
      </c>
      <c r="B130" s="7" t="s">
        <v>269</v>
      </c>
      <c r="C130" s="8">
        <v>14615.45</v>
      </c>
      <c r="D130" s="8">
        <v>1507.12</v>
      </c>
      <c r="E130" s="9">
        <v>0.103118275523504</v>
      </c>
      <c r="F130" s="10" t="s">
        <v>17</v>
      </c>
      <c r="G130" s="10" t="s">
        <v>17</v>
      </c>
    </row>
    <row r="131" spans="1:7" x14ac:dyDescent="0.25">
      <c r="A131" s="6" t="s">
        <v>147</v>
      </c>
      <c r="B131" s="7" t="s">
        <v>270</v>
      </c>
      <c r="C131" s="8">
        <v>14331.4</v>
      </c>
      <c r="D131" s="8">
        <v>109.4</v>
      </c>
      <c r="E131" s="9">
        <v>7.63358778625954E-3</v>
      </c>
      <c r="F131" s="10" t="s">
        <v>17</v>
      </c>
      <c r="G131" s="10" t="s">
        <v>17</v>
      </c>
    </row>
    <row r="132" spans="1:7" x14ac:dyDescent="0.25">
      <c r="A132" s="6" t="s">
        <v>148</v>
      </c>
      <c r="B132" s="7" t="s">
        <v>277</v>
      </c>
      <c r="C132" s="8">
        <v>13524.21</v>
      </c>
      <c r="D132" s="8">
        <v>789.63</v>
      </c>
      <c r="E132" s="9">
        <v>5.8386404825124701E-2</v>
      </c>
      <c r="F132" s="10" t="s">
        <v>17</v>
      </c>
      <c r="G132" s="10" t="s">
        <v>17</v>
      </c>
    </row>
    <row r="133" spans="1:7" x14ac:dyDescent="0.25">
      <c r="A133" s="6" t="s">
        <v>149</v>
      </c>
      <c r="B133" s="7" t="s">
        <v>286</v>
      </c>
      <c r="C133" s="8">
        <v>7728.98</v>
      </c>
      <c r="D133" s="8">
        <v>81.739999999999995</v>
      </c>
      <c r="E133" s="9">
        <v>1.05757810215578E-2</v>
      </c>
      <c r="F133" s="10" t="s">
        <v>17</v>
      </c>
      <c r="G133" s="10" t="s">
        <v>17</v>
      </c>
    </row>
    <row r="134" spans="1:7" x14ac:dyDescent="0.25">
      <c r="A134" s="6" t="s">
        <v>150</v>
      </c>
      <c r="B134" s="7" t="s">
        <v>322</v>
      </c>
      <c r="C134" s="8">
        <v>3783.29</v>
      </c>
      <c r="D134" s="8">
        <v>37.25</v>
      </c>
      <c r="E134" s="9">
        <v>9.8459277507143197E-3</v>
      </c>
      <c r="F134" s="10" t="s">
        <v>17</v>
      </c>
      <c r="G134" s="10" t="s">
        <v>17</v>
      </c>
    </row>
    <row r="135" spans="1:7" x14ac:dyDescent="0.25">
      <c r="A135" s="6" t="s">
        <v>151</v>
      </c>
      <c r="B135" s="7" t="s">
        <v>312</v>
      </c>
      <c r="C135" s="8">
        <v>2487.3200000000002</v>
      </c>
      <c r="D135" s="8">
        <v>52.68</v>
      </c>
      <c r="E135" s="9">
        <v>2.11794220285287E-2</v>
      </c>
      <c r="F135" s="10" t="s">
        <v>17</v>
      </c>
      <c r="G135" s="10" t="s">
        <v>17</v>
      </c>
    </row>
    <row r="136" spans="1:7" x14ac:dyDescent="0.25">
      <c r="A136" s="6" t="s">
        <v>152</v>
      </c>
      <c r="B136" s="7" t="s">
        <v>313</v>
      </c>
      <c r="C136" s="8">
        <v>1875.67</v>
      </c>
      <c r="D136" s="8">
        <v>282.60000000000002</v>
      </c>
      <c r="E136" s="9">
        <v>0.15066616195812699</v>
      </c>
      <c r="F136" s="10" t="s">
        <v>17</v>
      </c>
      <c r="G136" s="10" t="s">
        <v>17</v>
      </c>
    </row>
    <row r="137" spans="1:7" x14ac:dyDescent="0.25">
      <c r="A137" s="6" t="s">
        <v>153</v>
      </c>
      <c r="B137" s="7" t="s">
        <v>323</v>
      </c>
      <c r="C137" s="8">
        <v>1000.02</v>
      </c>
      <c r="D137" s="8">
        <v>1000.02</v>
      </c>
      <c r="E137" s="9">
        <v>1</v>
      </c>
      <c r="F137" s="10" t="s">
        <v>17</v>
      </c>
      <c r="G137" s="10" t="s">
        <v>17</v>
      </c>
    </row>
    <row r="138" spans="1:7" x14ac:dyDescent="0.25">
      <c r="A138" s="6" t="s">
        <v>154</v>
      </c>
      <c r="B138" s="7" t="s">
        <v>324</v>
      </c>
      <c r="C138" s="8">
        <v>505.02</v>
      </c>
      <c r="D138" s="8">
        <v>81.819999999999993</v>
      </c>
      <c r="E138" s="9">
        <v>0.16201338560849099</v>
      </c>
      <c r="F138" s="10" t="s">
        <v>17</v>
      </c>
      <c r="G138" s="10" t="s">
        <v>17</v>
      </c>
    </row>
    <row r="139" spans="1:7" x14ac:dyDescent="0.25">
      <c r="A139" s="6" t="s">
        <v>155</v>
      </c>
      <c r="B139" s="7" t="s">
        <v>318</v>
      </c>
      <c r="C139" s="8">
        <v>299.95</v>
      </c>
      <c r="D139" s="8">
        <v>299.95</v>
      </c>
      <c r="E139" s="9">
        <v>1</v>
      </c>
      <c r="F139" s="10" t="s">
        <v>17</v>
      </c>
      <c r="G139" s="10" t="s">
        <v>17</v>
      </c>
    </row>
    <row r="140" spans="1:7" x14ac:dyDescent="0.25">
      <c r="A140" s="6" t="s">
        <v>156</v>
      </c>
      <c r="B140" s="7" t="s">
        <v>319</v>
      </c>
      <c r="C140" s="8">
        <v>0</v>
      </c>
      <c r="D140" s="8">
        <v>0</v>
      </c>
      <c r="E140" s="9">
        <v>0</v>
      </c>
      <c r="F140" s="10" t="s">
        <v>17</v>
      </c>
      <c r="G140" s="10" t="s">
        <v>17</v>
      </c>
    </row>
    <row r="141" spans="1:7" x14ac:dyDescent="0.25">
      <c r="C141" s="8"/>
      <c r="D141" s="8"/>
      <c r="E141" s="9"/>
    </row>
    <row r="142" spans="1:7" x14ac:dyDescent="0.25">
      <c r="C142" s="8"/>
      <c r="D142" s="8"/>
      <c r="E142" s="9"/>
    </row>
    <row r="143" spans="1:7" x14ac:dyDescent="0.25">
      <c r="C143" s="8"/>
      <c r="D143" s="8"/>
      <c r="E143" s="9"/>
    </row>
    <row r="144" spans="1:7" x14ac:dyDescent="0.25">
      <c r="C144" s="8"/>
      <c r="D144" s="8" t="s">
        <v>298</v>
      </c>
      <c r="E144" s="9"/>
    </row>
    <row r="145" spans="1:7" ht="31.5" x14ac:dyDescent="0.25">
      <c r="A145" s="18"/>
      <c r="B145" s="19" t="s">
        <v>157</v>
      </c>
      <c r="C145" s="3" t="s">
        <v>158</v>
      </c>
      <c r="D145" s="3" t="s">
        <v>159</v>
      </c>
      <c r="E145" s="4" t="s">
        <v>160</v>
      </c>
      <c r="F145" s="5" t="s">
        <v>161</v>
      </c>
      <c r="G145" s="5" t="s">
        <v>162</v>
      </c>
    </row>
    <row r="146" spans="1:7" x14ac:dyDescent="0.25">
      <c r="A146" s="6" t="s">
        <v>18</v>
      </c>
      <c r="B146" s="7" t="s">
        <v>315</v>
      </c>
      <c r="C146" s="8">
        <v>3000329.6</v>
      </c>
      <c r="D146" s="8">
        <v>3000329.6</v>
      </c>
      <c r="E146" s="9">
        <v>1</v>
      </c>
      <c r="F146" s="10" t="s">
        <v>17</v>
      </c>
      <c r="G146" s="10" t="s">
        <v>17</v>
      </c>
    </row>
    <row r="147" spans="1:7" x14ac:dyDescent="0.25">
      <c r="A147" s="6" t="s">
        <v>19</v>
      </c>
      <c r="B147" s="7" t="s">
        <v>183</v>
      </c>
      <c r="C147" s="8">
        <v>1267727.7</v>
      </c>
      <c r="D147" s="8">
        <v>202697.22</v>
      </c>
      <c r="E147" s="9">
        <v>0.159890187774551</v>
      </c>
      <c r="F147" s="10" t="s">
        <v>17</v>
      </c>
      <c r="G147" s="10" t="s">
        <v>17</v>
      </c>
    </row>
    <row r="148" spans="1:7" x14ac:dyDescent="0.25">
      <c r="A148" s="6" t="s">
        <v>20</v>
      </c>
      <c r="B148" s="7" t="s">
        <v>165</v>
      </c>
      <c r="C148" s="8">
        <v>1126862.7</v>
      </c>
      <c r="D148" s="8">
        <v>1117478.24</v>
      </c>
      <c r="E148" s="9">
        <v>0.991672046647742</v>
      </c>
      <c r="F148" s="10" t="s">
        <v>17</v>
      </c>
      <c r="G148" s="10" t="s">
        <v>17</v>
      </c>
    </row>
    <row r="149" spans="1:7" x14ac:dyDescent="0.25">
      <c r="A149" s="6" t="s">
        <v>21</v>
      </c>
      <c r="B149" s="7" t="s">
        <v>244</v>
      </c>
      <c r="C149" s="8">
        <v>959217.57</v>
      </c>
      <c r="D149" s="8">
        <v>751.15</v>
      </c>
      <c r="E149" s="9">
        <v>7.8308615635553898E-4</v>
      </c>
      <c r="F149" s="10" t="s">
        <v>17</v>
      </c>
      <c r="G149" s="10" t="s">
        <v>17</v>
      </c>
    </row>
    <row r="150" spans="1:7" x14ac:dyDescent="0.25">
      <c r="A150" s="6" t="s">
        <v>22</v>
      </c>
      <c r="B150" s="7" t="s">
        <v>278</v>
      </c>
      <c r="C150" s="8">
        <v>711046.64</v>
      </c>
      <c r="D150" s="8">
        <v>291853.13</v>
      </c>
      <c r="E150" s="9">
        <v>0.41045567700031599</v>
      </c>
      <c r="F150" s="10" t="s">
        <v>17</v>
      </c>
      <c r="G150" s="10" t="s">
        <v>17</v>
      </c>
    </row>
    <row r="151" spans="1:7" x14ac:dyDescent="0.25">
      <c r="A151" s="6" t="s">
        <v>23</v>
      </c>
      <c r="B151" s="7" t="s">
        <v>325</v>
      </c>
      <c r="C151" s="8">
        <v>589922</v>
      </c>
      <c r="D151" s="8">
        <v>589922</v>
      </c>
      <c r="E151" s="9">
        <v>1</v>
      </c>
      <c r="F151" s="10" t="s">
        <v>17</v>
      </c>
      <c r="G151" s="10" t="s">
        <v>17</v>
      </c>
    </row>
    <row r="152" spans="1:7" x14ac:dyDescent="0.25">
      <c r="A152" s="6" t="s">
        <v>24</v>
      </c>
      <c r="B152" s="7" t="s">
        <v>182</v>
      </c>
      <c r="C152" s="8">
        <v>516673.13</v>
      </c>
      <c r="D152" s="8">
        <v>516673.13</v>
      </c>
      <c r="E152" s="9">
        <v>1</v>
      </c>
      <c r="F152" s="10" t="s">
        <v>17</v>
      </c>
      <c r="G152" s="10" t="s">
        <v>17</v>
      </c>
    </row>
    <row r="153" spans="1:7" x14ac:dyDescent="0.25">
      <c r="A153" s="6" t="s">
        <v>25</v>
      </c>
      <c r="B153" s="7" t="s">
        <v>189</v>
      </c>
      <c r="C153" s="8">
        <v>293540.15999999997</v>
      </c>
      <c r="D153" s="8">
        <v>293540.15999999997</v>
      </c>
      <c r="E153" s="9">
        <v>1</v>
      </c>
      <c r="F153" s="10" t="s">
        <v>17</v>
      </c>
      <c r="G153" s="10" t="s">
        <v>17</v>
      </c>
    </row>
    <row r="154" spans="1:7" x14ac:dyDescent="0.25">
      <c r="A154" s="6" t="s">
        <v>26</v>
      </c>
      <c r="B154" s="7" t="s">
        <v>280</v>
      </c>
      <c r="C154" s="8">
        <v>230405.48</v>
      </c>
      <c r="D154" s="8">
        <v>887.73</v>
      </c>
      <c r="E154" s="9">
        <v>3.8529031514354601E-3</v>
      </c>
      <c r="F154" s="10" t="s">
        <v>17</v>
      </c>
      <c r="G154" s="10" t="s">
        <v>17</v>
      </c>
    </row>
    <row r="155" spans="1:7" x14ac:dyDescent="0.25">
      <c r="A155" s="6" t="s">
        <v>27</v>
      </c>
      <c r="B155" s="7" t="s">
        <v>173</v>
      </c>
      <c r="C155" s="8">
        <v>208599.01</v>
      </c>
      <c r="D155" s="8">
        <v>28541.66</v>
      </c>
      <c r="E155" s="9">
        <v>0.13682548157826799</v>
      </c>
      <c r="F155" s="10" t="s">
        <v>17</v>
      </c>
      <c r="G155" s="10" t="s">
        <v>17</v>
      </c>
    </row>
    <row r="156" spans="1:7" x14ac:dyDescent="0.25">
      <c r="A156" s="6" t="s">
        <v>28</v>
      </c>
      <c r="B156" s="7" t="s">
        <v>205</v>
      </c>
      <c r="C156" s="8">
        <v>205284.36</v>
      </c>
      <c r="D156" s="8">
        <v>23301.82</v>
      </c>
      <c r="E156" s="9">
        <v>0.113509962473517</v>
      </c>
      <c r="F156" s="10" t="s">
        <v>17</v>
      </c>
      <c r="G156" s="10" t="s">
        <v>17</v>
      </c>
    </row>
    <row r="157" spans="1:7" x14ac:dyDescent="0.25">
      <c r="A157" s="6" t="s">
        <v>29</v>
      </c>
      <c r="B157" s="7" t="s">
        <v>186</v>
      </c>
      <c r="C157" s="8">
        <v>202257.15</v>
      </c>
      <c r="D157" s="8">
        <v>202257.15</v>
      </c>
      <c r="E157" s="9">
        <v>1</v>
      </c>
      <c r="F157" s="10" t="s">
        <v>17</v>
      </c>
      <c r="G157" s="10" t="s">
        <v>17</v>
      </c>
    </row>
    <row r="158" spans="1:7" x14ac:dyDescent="0.25">
      <c r="A158" s="6" t="s">
        <v>30</v>
      </c>
      <c r="B158" s="7" t="s">
        <v>224</v>
      </c>
      <c r="C158" s="8">
        <v>201401.3</v>
      </c>
      <c r="D158" s="8">
        <v>201401.3</v>
      </c>
      <c r="E158" s="9">
        <v>1</v>
      </c>
      <c r="F158" s="10" t="s">
        <v>17</v>
      </c>
      <c r="G158" s="10" t="s">
        <v>17</v>
      </c>
    </row>
    <row r="159" spans="1:7" x14ac:dyDescent="0.25">
      <c r="A159" s="6" t="s">
        <v>31</v>
      </c>
      <c r="B159" s="7" t="s">
        <v>195</v>
      </c>
      <c r="C159" s="8">
        <v>175691.06</v>
      </c>
      <c r="D159" s="8">
        <v>75860.490000000005</v>
      </c>
      <c r="E159" s="9">
        <v>0.43178343849709799</v>
      </c>
      <c r="F159" s="10" t="s">
        <v>17</v>
      </c>
      <c r="G159" s="10" t="s">
        <v>17</v>
      </c>
    </row>
    <row r="160" spans="1:7" x14ac:dyDescent="0.25">
      <c r="A160" s="6" t="s">
        <v>32</v>
      </c>
      <c r="B160" s="7" t="s">
        <v>180</v>
      </c>
      <c r="C160" s="8">
        <v>157504.45000000001</v>
      </c>
      <c r="D160" s="8">
        <v>1251.25</v>
      </c>
      <c r="E160" s="9">
        <v>7.9442199887050802E-3</v>
      </c>
      <c r="F160" s="10" t="s">
        <v>17</v>
      </c>
      <c r="G160" s="10" t="s">
        <v>17</v>
      </c>
    </row>
    <row r="161" spans="1:7" x14ac:dyDescent="0.25">
      <c r="A161" s="6" t="s">
        <v>33</v>
      </c>
      <c r="B161" s="7" t="s">
        <v>163</v>
      </c>
      <c r="C161" s="8">
        <v>149672.81</v>
      </c>
      <c r="D161" s="8">
        <v>50.14</v>
      </c>
      <c r="E161" s="9">
        <v>3.34997385296635E-4</v>
      </c>
      <c r="F161" s="10" t="s">
        <v>17</v>
      </c>
      <c r="G161" s="10" t="s">
        <v>17</v>
      </c>
    </row>
    <row r="162" spans="1:7" x14ac:dyDescent="0.25">
      <c r="A162" s="6" t="s">
        <v>34</v>
      </c>
      <c r="B162" s="7" t="s">
        <v>211</v>
      </c>
      <c r="C162" s="8">
        <v>144009.51</v>
      </c>
      <c r="D162" s="8">
        <v>12166.11</v>
      </c>
      <c r="E162" s="9">
        <v>8.4481295714428903E-2</v>
      </c>
      <c r="F162" s="10" t="s">
        <v>17</v>
      </c>
      <c r="G162" s="10" t="s">
        <v>17</v>
      </c>
    </row>
    <row r="163" spans="1:7" x14ac:dyDescent="0.25">
      <c r="A163" s="6" t="s">
        <v>35</v>
      </c>
      <c r="B163" s="7" t="s">
        <v>254</v>
      </c>
      <c r="C163" s="8">
        <v>138109.76000000001</v>
      </c>
      <c r="D163" s="8">
        <v>15448.8</v>
      </c>
      <c r="E163" s="9">
        <v>0.111858857766461</v>
      </c>
      <c r="F163" s="10" t="s">
        <v>17</v>
      </c>
      <c r="G163" s="10" t="s">
        <v>17</v>
      </c>
    </row>
    <row r="164" spans="1:7" x14ac:dyDescent="0.25">
      <c r="A164" s="6" t="s">
        <v>36</v>
      </c>
      <c r="B164" s="7" t="s">
        <v>279</v>
      </c>
      <c r="C164" s="8">
        <v>134908.72</v>
      </c>
      <c r="D164" s="8">
        <v>134908.72</v>
      </c>
      <c r="E164" s="9">
        <v>1</v>
      </c>
      <c r="F164" s="10" t="s">
        <v>17</v>
      </c>
      <c r="G164" s="10" t="s">
        <v>17</v>
      </c>
    </row>
    <row r="165" spans="1:7" x14ac:dyDescent="0.25">
      <c r="A165" s="6" t="s">
        <v>37</v>
      </c>
      <c r="B165" s="7" t="s">
        <v>187</v>
      </c>
      <c r="C165" s="8">
        <v>131167.23000000001</v>
      </c>
      <c r="D165" s="8">
        <v>131167.23000000001</v>
      </c>
      <c r="E165" s="9">
        <v>1</v>
      </c>
      <c r="F165" s="10" t="s">
        <v>17</v>
      </c>
      <c r="G165" s="10" t="s">
        <v>17</v>
      </c>
    </row>
    <row r="166" spans="1:7" x14ac:dyDescent="0.25">
      <c r="A166" s="6" t="s">
        <v>38</v>
      </c>
      <c r="B166" s="7" t="s">
        <v>303</v>
      </c>
      <c r="C166" s="8">
        <v>121006.87</v>
      </c>
      <c r="D166" s="8">
        <v>121006.87</v>
      </c>
      <c r="E166" s="9">
        <v>1</v>
      </c>
      <c r="F166" s="10" t="s">
        <v>17</v>
      </c>
      <c r="G166" s="10" t="s">
        <v>17</v>
      </c>
    </row>
    <row r="167" spans="1:7" x14ac:dyDescent="0.25">
      <c r="A167" s="6" t="s">
        <v>39</v>
      </c>
      <c r="B167" s="7" t="s">
        <v>215</v>
      </c>
      <c r="C167" s="8">
        <v>118783.23</v>
      </c>
      <c r="D167" s="8">
        <v>935.69</v>
      </c>
      <c r="E167" s="9">
        <v>7.8772904222254303E-3</v>
      </c>
      <c r="F167" s="10" t="s">
        <v>17</v>
      </c>
      <c r="G167" s="10" t="s">
        <v>17</v>
      </c>
    </row>
    <row r="168" spans="1:7" x14ac:dyDescent="0.25">
      <c r="A168" s="6" t="s">
        <v>40</v>
      </c>
      <c r="B168" s="7" t="s">
        <v>308</v>
      </c>
      <c r="C168" s="8">
        <v>99140.108099999998</v>
      </c>
      <c r="D168" s="8">
        <v>2017.19</v>
      </c>
      <c r="E168" s="9">
        <v>2.0346861009726901E-2</v>
      </c>
      <c r="F168" s="10" t="s">
        <v>17</v>
      </c>
      <c r="G168" s="10" t="s">
        <v>17</v>
      </c>
    </row>
    <row r="169" spans="1:7" x14ac:dyDescent="0.25">
      <c r="A169" s="6" t="s">
        <v>41</v>
      </c>
      <c r="B169" s="7" t="s">
        <v>294</v>
      </c>
      <c r="C169" s="8">
        <v>84301.52</v>
      </c>
      <c r="D169" s="8">
        <v>46097.65</v>
      </c>
      <c r="E169" s="9">
        <v>0.54681872877262505</v>
      </c>
      <c r="F169" s="10" t="s">
        <v>17</v>
      </c>
      <c r="G169" s="10" t="s">
        <v>17</v>
      </c>
    </row>
    <row r="170" spans="1:7" x14ac:dyDescent="0.25">
      <c r="A170" s="6" t="s">
        <v>42</v>
      </c>
      <c r="B170" s="7" t="s">
        <v>184</v>
      </c>
      <c r="C170" s="8">
        <v>80131.839999999997</v>
      </c>
      <c r="D170" s="8">
        <v>80131.839999999997</v>
      </c>
      <c r="E170" s="9">
        <v>1</v>
      </c>
      <c r="F170" s="10" t="s">
        <v>17</v>
      </c>
      <c r="G170" s="10" t="s">
        <v>17</v>
      </c>
    </row>
    <row r="171" spans="1:7" x14ac:dyDescent="0.25">
      <c r="A171" s="6" t="s">
        <v>43</v>
      </c>
      <c r="B171" s="7" t="s">
        <v>280</v>
      </c>
      <c r="C171" s="8">
        <v>77017.23</v>
      </c>
      <c r="D171" s="8">
        <v>1165.73</v>
      </c>
      <c r="E171" s="9">
        <v>1.5135963731752E-2</v>
      </c>
      <c r="F171" s="10" t="s">
        <v>17</v>
      </c>
      <c r="G171" s="10" t="s">
        <v>17</v>
      </c>
    </row>
    <row r="172" spans="1:7" x14ac:dyDescent="0.25">
      <c r="A172" s="6" t="s">
        <v>44</v>
      </c>
      <c r="B172" s="7" t="s">
        <v>284</v>
      </c>
      <c r="C172" s="8">
        <v>58134.84</v>
      </c>
      <c r="D172" s="8">
        <v>11313.96</v>
      </c>
      <c r="E172" s="9">
        <v>0.194615827617312</v>
      </c>
      <c r="F172" s="10" t="s">
        <v>17</v>
      </c>
      <c r="G172" s="10" t="s">
        <v>17</v>
      </c>
    </row>
    <row r="173" spans="1:7" x14ac:dyDescent="0.25">
      <c r="A173" s="6" t="s">
        <v>45</v>
      </c>
      <c r="B173" s="7" t="s">
        <v>175</v>
      </c>
      <c r="C173" s="8">
        <v>57342.77</v>
      </c>
      <c r="D173" s="8">
        <v>57342.77</v>
      </c>
      <c r="E173" s="9">
        <v>1</v>
      </c>
      <c r="F173" s="10" t="s">
        <v>17</v>
      </c>
      <c r="G173" s="10" t="s">
        <v>17</v>
      </c>
    </row>
    <row r="174" spans="1:7" x14ac:dyDescent="0.25">
      <c r="A174" s="6" t="s">
        <v>46</v>
      </c>
      <c r="B174" s="7" t="s">
        <v>227</v>
      </c>
      <c r="C174" s="8">
        <v>50059.42</v>
      </c>
      <c r="D174" s="8">
        <v>50059.42</v>
      </c>
      <c r="E174" s="9">
        <v>1</v>
      </c>
      <c r="F174" s="10" t="s">
        <v>17</v>
      </c>
      <c r="G174" s="10" t="s">
        <v>17</v>
      </c>
    </row>
    <row r="175" spans="1:7" x14ac:dyDescent="0.25">
      <c r="A175" s="6" t="s">
        <v>47</v>
      </c>
      <c r="B175" s="7" t="s">
        <v>248</v>
      </c>
      <c r="C175" s="8">
        <v>37314.75</v>
      </c>
      <c r="D175" s="8">
        <v>37314.75</v>
      </c>
      <c r="E175" s="9">
        <v>1</v>
      </c>
      <c r="F175" s="10" t="s">
        <v>17</v>
      </c>
      <c r="G175" s="10" t="s">
        <v>17</v>
      </c>
    </row>
    <row r="176" spans="1:7" x14ac:dyDescent="0.25">
      <c r="A176" s="6" t="s">
        <v>48</v>
      </c>
      <c r="B176" s="7" t="s">
        <v>261</v>
      </c>
      <c r="C176" s="8">
        <v>35267.08</v>
      </c>
      <c r="D176" s="8">
        <v>9833.81</v>
      </c>
      <c r="E176" s="9">
        <v>0.278838225336489</v>
      </c>
      <c r="F176" s="10" t="s">
        <v>17</v>
      </c>
      <c r="G176" s="10" t="s">
        <v>17</v>
      </c>
    </row>
    <row r="177" spans="1:7" x14ac:dyDescent="0.25">
      <c r="A177" s="6" t="s">
        <v>49</v>
      </c>
      <c r="B177" s="7" t="s">
        <v>190</v>
      </c>
      <c r="C177" s="8">
        <v>33618.79</v>
      </c>
      <c r="D177" s="8">
        <v>33618.79</v>
      </c>
      <c r="E177" s="9">
        <v>1</v>
      </c>
      <c r="F177" s="10" t="s">
        <v>17</v>
      </c>
      <c r="G177" s="10" t="s">
        <v>17</v>
      </c>
    </row>
    <row r="178" spans="1:7" x14ac:dyDescent="0.25">
      <c r="A178" s="6" t="s">
        <v>50</v>
      </c>
      <c r="B178" s="7" t="s">
        <v>220</v>
      </c>
      <c r="C178" s="8">
        <v>20872.25</v>
      </c>
      <c r="D178" s="8">
        <v>20872.25</v>
      </c>
      <c r="E178" s="9">
        <v>1</v>
      </c>
      <c r="F178" s="10" t="s">
        <v>17</v>
      </c>
      <c r="G178" s="10" t="s">
        <v>17</v>
      </c>
    </row>
    <row r="179" spans="1:7" x14ac:dyDescent="0.25">
      <c r="A179" s="6" t="s">
        <v>51</v>
      </c>
      <c r="B179" s="7" t="s">
        <v>285</v>
      </c>
      <c r="C179" s="8">
        <v>20002.439999999999</v>
      </c>
      <c r="D179" s="8">
        <v>20002.439999999999</v>
      </c>
      <c r="E179" s="9">
        <v>1</v>
      </c>
      <c r="F179" s="10" t="s">
        <v>17</v>
      </c>
      <c r="G179" s="10" t="s">
        <v>17</v>
      </c>
    </row>
    <row r="180" spans="1:7" x14ac:dyDescent="0.25">
      <c r="A180" s="6" t="s">
        <v>52</v>
      </c>
      <c r="B180" s="7" t="s">
        <v>287</v>
      </c>
      <c r="C180" s="8">
        <v>11597.96</v>
      </c>
      <c r="D180" s="8">
        <v>285.43</v>
      </c>
      <c r="E180" s="9">
        <v>2.4610362512028E-2</v>
      </c>
      <c r="F180" s="10" t="s">
        <v>17</v>
      </c>
      <c r="G180" s="10" t="s">
        <v>17</v>
      </c>
    </row>
    <row r="181" spans="1:7" x14ac:dyDescent="0.25">
      <c r="A181" s="6" t="s">
        <v>53</v>
      </c>
      <c r="B181" s="7" t="s">
        <v>238</v>
      </c>
      <c r="C181" s="8">
        <v>6166.6</v>
      </c>
      <c r="D181" s="8">
        <v>66.16</v>
      </c>
      <c r="E181" s="9">
        <v>1.0728764635293399E-2</v>
      </c>
      <c r="F181" s="10" t="s">
        <v>17</v>
      </c>
      <c r="G181" s="10" t="s">
        <v>17</v>
      </c>
    </row>
    <row r="182" spans="1:7" x14ac:dyDescent="0.25">
      <c r="A182" s="6" t="s">
        <v>54</v>
      </c>
      <c r="B182" s="7" t="s">
        <v>261</v>
      </c>
      <c r="C182" s="8">
        <v>5505.76</v>
      </c>
      <c r="D182" s="8">
        <v>5505.76</v>
      </c>
      <c r="E182" s="9">
        <v>1</v>
      </c>
      <c r="F182" s="10" t="s">
        <v>17</v>
      </c>
      <c r="G182" s="10" t="s">
        <v>17</v>
      </c>
    </row>
    <row r="183" spans="1:7" x14ac:dyDescent="0.25">
      <c r="A183" s="6" t="s">
        <v>55</v>
      </c>
      <c r="B183" s="7" t="s">
        <v>288</v>
      </c>
      <c r="C183" s="8">
        <v>4900.67</v>
      </c>
      <c r="D183" s="8">
        <v>948.17</v>
      </c>
      <c r="E183" s="9">
        <v>0.193477626528618</v>
      </c>
      <c r="F183" s="10" t="s">
        <v>17</v>
      </c>
      <c r="G183" s="10" t="s">
        <v>17</v>
      </c>
    </row>
    <row r="184" spans="1:7" x14ac:dyDescent="0.25">
      <c r="A184" s="6" t="s">
        <v>56</v>
      </c>
      <c r="B184" s="7" t="s">
        <v>326</v>
      </c>
      <c r="C184" s="8">
        <v>2674.03</v>
      </c>
      <c r="D184" s="8">
        <v>2674.03</v>
      </c>
      <c r="E184" s="9">
        <v>1</v>
      </c>
      <c r="F184" s="10" t="s">
        <v>17</v>
      </c>
      <c r="G184" s="10" t="s">
        <v>17</v>
      </c>
    </row>
    <row r="185" spans="1:7" x14ac:dyDescent="0.25">
      <c r="A185" s="6" t="s">
        <v>57</v>
      </c>
      <c r="B185" s="7" t="s">
        <v>305</v>
      </c>
      <c r="C185" s="8">
        <v>2000</v>
      </c>
      <c r="D185" s="8">
        <v>2000</v>
      </c>
      <c r="E185" s="9">
        <v>1</v>
      </c>
      <c r="F185" s="10" t="s">
        <v>17</v>
      </c>
      <c r="G185" s="10" t="s">
        <v>17</v>
      </c>
    </row>
    <row r="186" spans="1:7" x14ac:dyDescent="0.25">
      <c r="A186" s="6" t="s">
        <v>58</v>
      </c>
      <c r="B186" s="7" t="s">
        <v>202</v>
      </c>
      <c r="C186" s="8">
        <v>1586.06</v>
      </c>
      <c r="D186" s="8">
        <v>19.43</v>
      </c>
      <c r="E186" s="9">
        <v>1.22504823272764E-2</v>
      </c>
      <c r="F186" s="10" t="s">
        <v>17</v>
      </c>
      <c r="G186" s="10" t="s">
        <v>17</v>
      </c>
    </row>
    <row r="187" spans="1:7" x14ac:dyDescent="0.25">
      <c r="A187" s="6" t="s">
        <v>59</v>
      </c>
      <c r="B187" s="7" t="s">
        <v>289</v>
      </c>
      <c r="C187" s="8">
        <v>1217.0899999999999</v>
      </c>
      <c r="D187" s="8">
        <v>54.98</v>
      </c>
      <c r="E187" s="9">
        <v>4.5173323254648401E-2</v>
      </c>
      <c r="F187" s="10" t="s">
        <v>17</v>
      </c>
      <c r="G187" s="10" t="s">
        <v>17</v>
      </c>
    </row>
    <row r="188" spans="1:7" x14ac:dyDescent="0.25">
      <c r="A188" s="6" t="s">
        <v>60</v>
      </c>
      <c r="B188" s="7" t="s">
        <v>295</v>
      </c>
      <c r="C188" s="8">
        <v>1200.01</v>
      </c>
      <c r="D188" s="8">
        <v>1200.01</v>
      </c>
      <c r="E188" s="9">
        <v>1</v>
      </c>
      <c r="F188" s="10" t="s">
        <v>17</v>
      </c>
      <c r="G188" s="10" t="s">
        <v>17</v>
      </c>
    </row>
    <row r="189" spans="1:7" x14ac:dyDescent="0.25">
      <c r="A189" s="6" t="s">
        <v>61</v>
      </c>
      <c r="B189" s="7" t="s">
        <v>327</v>
      </c>
      <c r="C189" s="8">
        <v>1150.42</v>
      </c>
      <c r="D189" s="8">
        <v>1150.42</v>
      </c>
      <c r="E189" s="9">
        <v>1</v>
      </c>
      <c r="F189" s="10" t="s">
        <v>17</v>
      </c>
      <c r="G189" s="10" t="s">
        <v>17</v>
      </c>
    </row>
    <row r="190" spans="1:7" x14ac:dyDescent="0.25">
      <c r="A190" s="6" t="s">
        <v>62</v>
      </c>
      <c r="B190" s="7" t="s">
        <v>314</v>
      </c>
      <c r="C190" s="8">
        <v>1000.42</v>
      </c>
      <c r="D190" s="8">
        <v>1000.42</v>
      </c>
      <c r="E190" s="9">
        <v>1</v>
      </c>
      <c r="F190" s="10" t="s">
        <v>17</v>
      </c>
      <c r="G190" s="10" t="s">
        <v>17</v>
      </c>
    </row>
    <row r="191" spans="1:7" x14ac:dyDescent="0.25">
      <c r="A191" s="6" t="s">
        <v>63</v>
      </c>
      <c r="B191" s="7" t="s">
        <v>290</v>
      </c>
      <c r="C191" s="8">
        <v>613.74</v>
      </c>
      <c r="D191" s="8">
        <v>89.51</v>
      </c>
      <c r="E191" s="9">
        <v>0.14584351679864399</v>
      </c>
      <c r="F191" s="10" t="s">
        <v>17</v>
      </c>
      <c r="G191" s="10" t="s">
        <v>17</v>
      </c>
    </row>
    <row r="192" spans="1:7" x14ac:dyDescent="0.25">
      <c r="A192" s="6" t="s">
        <v>64</v>
      </c>
      <c r="B192" s="7" t="s">
        <v>204</v>
      </c>
      <c r="C192" s="8">
        <v>21.6</v>
      </c>
      <c r="D192" s="8">
        <v>21.6</v>
      </c>
      <c r="E192" s="9">
        <v>1</v>
      </c>
      <c r="F192" s="10" t="s">
        <v>17</v>
      </c>
      <c r="G192" s="10" t="s">
        <v>17</v>
      </c>
    </row>
    <row r="193" spans="1:7" x14ac:dyDescent="0.25">
      <c r="A193" s="6" t="s">
        <v>65</v>
      </c>
      <c r="B193" s="7" t="s">
        <v>271</v>
      </c>
      <c r="C193" s="8">
        <v>20.07</v>
      </c>
      <c r="D193" s="8">
        <v>20.07</v>
      </c>
      <c r="E193" s="9">
        <v>1</v>
      </c>
      <c r="F193" s="10" t="s">
        <v>17</v>
      </c>
      <c r="G193" s="10" t="s">
        <v>17</v>
      </c>
    </row>
    <row r="194" spans="1:7" x14ac:dyDescent="0.25">
      <c r="A194" s="6" t="s">
        <v>66</v>
      </c>
      <c r="B194" s="7" t="s">
        <v>297</v>
      </c>
      <c r="C194" s="8">
        <v>6.87</v>
      </c>
      <c r="D194" s="8">
        <v>6.87</v>
      </c>
      <c r="E194" s="9">
        <v>1</v>
      </c>
      <c r="F194" s="10" t="s">
        <v>17</v>
      </c>
      <c r="G194" s="10" t="s">
        <v>17</v>
      </c>
    </row>
    <row r="195" spans="1:7" x14ac:dyDescent="0.25">
      <c r="A195" s="6" t="s">
        <v>67</v>
      </c>
      <c r="B195" s="7" t="s">
        <v>296</v>
      </c>
      <c r="C195" s="8">
        <v>3.17</v>
      </c>
      <c r="D195" s="8">
        <v>3.17</v>
      </c>
      <c r="E195" s="9">
        <v>1</v>
      </c>
      <c r="F195" s="10" t="s">
        <v>17</v>
      </c>
      <c r="G195" s="10" t="s">
        <v>17</v>
      </c>
    </row>
    <row r="196" spans="1:7" x14ac:dyDescent="0.25">
      <c r="A196" s="6" t="s">
        <v>68</v>
      </c>
      <c r="B196" s="7" t="s">
        <v>281</v>
      </c>
      <c r="C196" s="8">
        <v>0.33</v>
      </c>
      <c r="D196" s="8">
        <v>0.33</v>
      </c>
      <c r="E196" s="9">
        <v>1</v>
      </c>
      <c r="F196" s="10" t="s">
        <v>17</v>
      </c>
      <c r="G196" s="10" t="s">
        <v>17</v>
      </c>
    </row>
    <row r="197" spans="1:7" x14ac:dyDescent="0.25">
      <c r="A197" s="6" t="s">
        <v>69</v>
      </c>
      <c r="B197" s="7" t="s">
        <v>164</v>
      </c>
      <c r="C197" s="8">
        <v>0.03</v>
      </c>
      <c r="D197" s="8">
        <v>0.03</v>
      </c>
      <c r="E197" s="9">
        <v>1</v>
      </c>
      <c r="F197" s="10" t="s">
        <v>17</v>
      </c>
      <c r="G197" s="10" t="s">
        <v>17</v>
      </c>
    </row>
    <row r="198" spans="1:7" x14ac:dyDescent="0.25">
      <c r="A198" s="6" t="s">
        <v>70</v>
      </c>
      <c r="B198" s="7" t="s">
        <v>230</v>
      </c>
      <c r="C198" s="8">
        <v>0.01</v>
      </c>
      <c r="D198" s="8">
        <v>0.01</v>
      </c>
      <c r="E198" s="9">
        <v>1</v>
      </c>
      <c r="F198" s="10" t="s">
        <v>17</v>
      </c>
      <c r="G198" s="10" t="s">
        <v>17</v>
      </c>
    </row>
    <row r="199" spans="1:7" x14ac:dyDescent="0.25">
      <c r="A199" s="6" t="s">
        <v>71</v>
      </c>
      <c r="B199" s="7" t="s">
        <v>208</v>
      </c>
      <c r="C199" s="8">
        <v>0.01</v>
      </c>
      <c r="D199" s="8">
        <v>0.01</v>
      </c>
      <c r="E199" s="9">
        <v>1</v>
      </c>
      <c r="F199" s="10" t="s">
        <v>17</v>
      </c>
      <c r="G199" s="10" t="s">
        <v>17</v>
      </c>
    </row>
    <row r="200" spans="1:7" x14ac:dyDescent="0.25">
      <c r="A200" s="6" t="s">
        <v>72</v>
      </c>
      <c r="B200" s="7" t="s">
        <v>286</v>
      </c>
      <c r="C200" s="8">
        <v>0</v>
      </c>
      <c r="D200" s="8">
        <v>0</v>
      </c>
      <c r="E200" s="9">
        <v>0</v>
      </c>
      <c r="F200" s="10" t="s">
        <v>17</v>
      </c>
      <c r="G200" s="10" t="s">
        <v>17</v>
      </c>
    </row>
    <row r="201" spans="1:7" x14ac:dyDescent="0.25">
      <c r="A201" s="6" t="s">
        <v>73</v>
      </c>
      <c r="B201" s="7" t="s">
        <v>210</v>
      </c>
      <c r="C201" s="8">
        <v>0</v>
      </c>
      <c r="D201" s="8">
        <v>0</v>
      </c>
      <c r="E201" s="9">
        <v>0</v>
      </c>
      <c r="F201" s="10" t="s">
        <v>17</v>
      </c>
      <c r="G201" s="10" t="s">
        <v>17</v>
      </c>
    </row>
    <row r="202" spans="1:7" x14ac:dyDescent="0.25">
      <c r="A202" s="6" t="s">
        <v>74</v>
      </c>
      <c r="B202" s="7" t="s">
        <v>219</v>
      </c>
      <c r="C202" s="8">
        <v>0</v>
      </c>
      <c r="D202" s="8">
        <v>0</v>
      </c>
      <c r="E202" s="9">
        <v>0</v>
      </c>
      <c r="F202" s="10" t="s">
        <v>17</v>
      </c>
      <c r="G202" s="10" t="s">
        <v>17</v>
      </c>
    </row>
    <row r="203" spans="1:7" x14ac:dyDescent="0.25">
      <c r="A203" s="6" t="s">
        <v>75</v>
      </c>
      <c r="B203" s="7" t="s">
        <v>262</v>
      </c>
      <c r="C203" s="8">
        <v>0</v>
      </c>
      <c r="D203" s="8">
        <v>0</v>
      </c>
      <c r="E203" s="9">
        <v>0</v>
      </c>
      <c r="F203" s="10" t="s">
        <v>17</v>
      </c>
      <c r="G203" s="10" t="s">
        <v>17</v>
      </c>
    </row>
    <row r="204" spans="1:7" x14ac:dyDescent="0.25">
      <c r="A204" s="6" t="s">
        <v>76</v>
      </c>
      <c r="B204" s="7" t="s">
        <v>282</v>
      </c>
      <c r="C204" s="8">
        <v>0</v>
      </c>
      <c r="D204" s="8">
        <v>0</v>
      </c>
      <c r="E204" s="9">
        <v>0</v>
      </c>
      <c r="F204" s="10" t="s">
        <v>17</v>
      </c>
      <c r="G204" s="10" t="s">
        <v>17</v>
      </c>
    </row>
    <row r="205" spans="1:7" x14ac:dyDescent="0.25">
      <c r="A205" s="6" t="s">
        <v>77</v>
      </c>
      <c r="B205" s="7" t="s">
        <v>229</v>
      </c>
      <c r="C205" s="8">
        <v>0</v>
      </c>
      <c r="D205" s="8">
        <v>0</v>
      </c>
      <c r="E205" s="9">
        <v>0</v>
      </c>
      <c r="F205" s="10" t="s">
        <v>17</v>
      </c>
      <c r="G205" s="10" t="s">
        <v>17</v>
      </c>
    </row>
    <row r="206" spans="1:7" x14ac:dyDescent="0.25">
      <c r="A206" s="6" t="s">
        <v>78</v>
      </c>
      <c r="B206" s="7" t="s">
        <v>221</v>
      </c>
      <c r="C206" s="8">
        <v>0</v>
      </c>
      <c r="D206" s="8">
        <v>0</v>
      </c>
      <c r="E206" s="9">
        <v>0</v>
      </c>
      <c r="F206" s="10" t="s">
        <v>17</v>
      </c>
      <c r="G206" s="10" t="s">
        <v>17</v>
      </c>
    </row>
    <row r="207" spans="1:7" x14ac:dyDescent="0.25">
      <c r="C207" s="8"/>
      <c r="D207" s="8"/>
      <c r="E207" s="9"/>
    </row>
    <row r="212" spans="2:5" x14ac:dyDescent="0.25">
      <c r="B212" s="20" t="s">
        <v>273</v>
      </c>
      <c r="C212" s="21">
        <f>SUM(C2:C144)</f>
        <v>90165945.681200042</v>
      </c>
      <c r="D212" s="21">
        <f>SUM(D2:D144)</f>
        <v>25759242.529999986</v>
      </c>
      <c r="E212" s="22">
        <f>(D212 / C212)</f>
        <v>0.28568704443113152</v>
      </c>
    </row>
    <row r="216" spans="2:5" x14ac:dyDescent="0.25">
      <c r="B216" s="20" t="s">
        <v>272</v>
      </c>
      <c r="C216" s="21">
        <f>SUM(C145:C210)</f>
        <v>11476988.328099998</v>
      </c>
      <c r="D216" s="21">
        <f>SUM(D145:D210)</f>
        <v>7347246.6000000024</v>
      </c>
      <c r="E216" s="22">
        <f>(D216 / C216)</f>
        <v>0.64017200244171812</v>
      </c>
    </row>
    <row r="220" spans="2:5" x14ac:dyDescent="0.25">
      <c r="B220" s="20" t="s">
        <v>274</v>
      </c>
      <c r="C220" s="21">
        <f>SUM(C2:C216) / 2</f>
        <v>101642934.00930007</v>
      </c>
      <c r="D220" s="21">
        <f>SUM(D2:D216) / 2</f>
        <v>33106489.129999995</v>
      </c>
      <c r="E220" s="22">
        <f>(D220 / C220)</f>
        <v>0.32571363127879444</v>
      </c>
    </row>
  </sheetData>
  <pageMargins left="0.7" right="0.7" top="0.75" bottom="0.75" header="0.3" footer="0.3"/>
  <pageSetup orientation="landscape" r:id="rId1"/>
  <headerFooter>
    <oddHeader>&amp;R&amp;B&amp;12As of &amp;D&amp;C&amp;B&amp;12Sunset West Daily Cash Percentage Report</oddHeader>
    <oddFooter>&amp;C&amp;B&amp;12&amp;P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F0A6A-4675-4BEB-AB52-812AFF3ED2F7}">
  <dimension ref="A1:G220"/>
  <sheetViews>
    <sheetView topLeftCell="A29" workbookViewId="0">
      <selection activeCell="B47" sqref="B1:B1048576"/>
    </sheetView>
  </sheetViews>
  <sheetFormatPr defaultRowHeight="15.75" x14ac:dyDescent="0.25"/>
  <cols>
    <col min="1" max="1" width="5" style="10" bestFit="1" customWidth="1"/>
    <col min="2" max="2" width="26.28515625" style="7" customWidth="1"/>
    <col min="3" max="3" width="15.140625" style="10" customWidth="1"/>
    <col min="4" max="4" width="14" style="10" customWidth="1"/>
    <col min="5" max="5" width="9.140625" style="10"/>
    <col min="6" max="6" width="9.7109375" style="10" customWidth="1"/>
    <col min="7" max="7" width="10.42578125" style="10" customWidth="1"/>
    <col min="8" max="16384" width="9.140625" style="1"/>
  </cols>
  <sheetData>
    <row r="1" spans="1:7" ht="31.5" x14ac:dyDescent="0.25">
      <c r="A1" s="18"/>
      <c r="B1" s="2" t="s">
        <v>157</v>
      </c>
      <c r="C1" s="3" t="s">
        <v>158</v>
      </c>
      <c r="D1" s="3" t="s">
        <v>159</v>
      </c>
      <c r="E1" s="4" t="s">
        <v>160</v>
      </c>
      <c r="F1" s="5" t="s">
        <v>161</v>
      </c>
      <c r="G1" s="5" t="s">
        <v>162</v>
      </c>
    </row>
    <row r="2" spans="1:7" x14ac:dyDescent="0.25">
      <c r="A2" s="6" t="s">
        <v>18</v>
      </c>
      <c r="B2" s="7" t="s">
        <v>163</v>
      </c>
      <c r="C2" s="8">
        <v>4996714.3600000003</v>
      </c>
      <c r="D2" s="8">
        <v>1025277.22</v>
      </c>
      <c r="E2" s="9">
        <v>0.205190280278499</v>
      </c>
      <c r="F2" s="10" t="s">
        <v>0</v>
      </c>
      <c r="G2" s="11">
        <f>(D2 / F2)</f>
        <v>75.946460740740733</v>
      </c>
    </row>
    <row r="3" spans="1:7" x14ac:dyDescent="0.25">
      <c r="A3" s="6" t="s">
        <v>19</v>
      </c>
      <c r="B3" s="7" t="s">
        <v>297</v>
      </c>
      <c r="C3" s="8">
        <v>4950068.3899999997</v>
      </c>
      <c r="D3" s="8">
        <v>4950068.3899999997</v>
      </c>
      <c r="E3" s="9">
        <v>1</v>
      </c>
      <c r="F3" s="10" t="s">
        <v>17</v>
      </c>
      <c r="G3" s="10" t="s">
        <v>17</v>
      </c>
    </row>
    <row r="4" spans="1:7" x14ac:dyDescent="0.25">
      <c r="A4" s="6" t="s">
        <v>20</v>
      </c>
      <c r="B4" s="7" t="s">
        <v>168</v>
      </c>
      <c r="C4" s="8">
        <v>4302031.2699999996</v>
      </c>
      <c r="D4" s="8">
        <v>1385450.32</v>
      </c>
      <c r="E4" s="9">
        <v>0.322045618231873</v>
      </c>
      <c r="F4" s="10" t="s">
        <v>17</v>
      </c>
      <c r="G4" s="10" t="s">
        <v>17</v>
      </c>
    </row>
    <row r="5" spans="1:7" x14ac:dyDescent="0.25">
      <c r="A5" s="6" t="s">
        <v>21</v>
      </c>
      <c r="B5" s="7" t="s">
        <v>165</v>
      </c>
      <c r="C5" s="8">
        <v>3337707.2557999999</v>
      </c>
      <c r="D5" s="8">
        <v>726486.45</v>
      </c>
      <c r="E5" s="9">
        <v>0.21766032618276199</v>
      </c>
      <c r="F5" s="10" t="s">
        <v>17</v>
      </c>
      <c r="G5" s="10" t="s">
        <v>17</v>
      </c>
    </row>
    <row r="6" spans="1:7" x14ac:dyDescent="0.25">
      <c r="A6" s="6" t="s">
        <v>22</v>
      </c>
      <c r="B6" s="7" t="s">
        <v>166</v>
      </c>
      <c r="C6" s="8">
        <v>2958092.3</v>
      </c>
      <c r="D6" s="8">
        <v>506837</v>
      </c>
      <c r="E6" s="9">
        <v>0.17133914313627099</v>
      </c>
      <c r="F6" s="10" t="s">
        <v>17</v>
      </c>
      <c r="G6" s="10" t="s">
        <v>17</v>
      </c>
    </row>
    <row r="7" spans="1:7" x14ac:dyDescent="0.25">
      <c r="A7" s="6" t="s">
        <v>23</v>
      </c>
      <c r="B7" s="7" t="s">
        <v>164</v>
      </c>
      <c r="C7" s="8">
        <v>2945168.5</v>
      </c>
      <c r="D7" s="8">
        <v>568006.06000000006</v>
      </c>
      <c r="E7" s="9">
        <v>0.192860293052842</v>
      </c>
      <c r="F7" s="10" t="s">
        <v>1</v>
      </c>
      <c r="G7" s="11">
        <f>(D7 / F7)</f>
        <v>61.539118093174437</v>
      </c>
    </row>
    <row r="8" spans="1:7" x14ac:dyDescent="0.25">
      <c r="A8" s="6" t="s">
        <v>24</v>
      </c>
      <c r="B8" s="7" t="s">
        <v>167</v>
      </c>
      <c r="C8" s="8">
        <v>2583618.64</v>
      </c>
      <c r="D8" s="8">
        <v>1115470.3999999999</v>
      </c>
      <c r="E8" s="9">
        <v>0.43174731081828699</v>
      </c>
      <c r="F8" s="10" t="s">
        <v>2</v>
      </c>
      <c r="G8" s="11">
        <f>(D8 / F8)</f>
        <v>434.37320872274142</v>
      </c>
    </row>
    <row r="9" spans="1:7" x14ac:dyDescent="0.25">
      <c r="A9" s="6" t="s">
        <v>25</v>
      </c>
      <c r="B9" s="7" t="s">
        <v>169</v>
      </c>
      <c r="C9" s="8">
        <v>2293696.84</v>
      </c>
      <c r="D9" s="8">
        <v>351894.64</v>
      </c>
      <c r="E9" s="9">
        <v>0.15341811256974999</v>
      </c>
      <c r="F9" s="10" t="s">
        <v>293</v>
      </c>
      <c r="G9" s="11">
        <f>(D9 / F9)</f>
        <v>37.04154105263158</v>
      </c>
    </row>
    <row r="10" spans="1:7" x14ac:dyDescent="0.25">
      <c r="A10" s="6" t="s">
        <v>26</v>
      </c>
      <c r="B10" s="7" t="s">
        <v>170</v>
      </c>
      <c r="C10" s="8">
        <v>2119741.62</v>
      </c>
      <c r="D10" s="8">
        <v>300607.37</v>
      </c>
      <c r="E10" s="9">
        <v>0.14181321306509001</v>
      </c>
      <c r="F10" s="10" t="s">
        <v>3</v>
      </c>
      <c r="G10" s="11">
        <f>(D10 / F10)</f>
        <v>37.57592125</v>
      </c>
    </row>
    <row r="11" spans="1:7" x14ac:dyDescent="0.25">
      <c r="A11" s="6" t="s">
        <v>27</v>
      </c>
      <c r="B11" s="7" t="s">
        <v>171</v>
      </c>
      <c r="C11" s="8">
        <v>2025355.78</v>
      </c>
      <c r="D11" s="8">
        <v>332651.43</v>
      </c>
      <c r="E11" s="9">
        <v>0.164243454549995</v>
      </c>
      <c r="F11" s="10" t="s">
        <v>17</v>
      </c>
      <c r="G11" s="10" t="s">
        <v>17</v>
      </c>
    </row>
    <row r="12" spans="1:7" x14ac:dyDescent="0.25">
      <c r="A12" s="6" t="s">
        <v>28</v>
      </c>
      <c r="B12" s="7" t="s">
        <v>172</v>
      </c>
      <c r="C12" s="8">
        <v>1914155.44</v>
      </c>
      <c r="D12" s="8">
        <v>408605.54</v>
      </c>
      <c r="E12" s="9">
        <v>0.21346518232605</v>
      </c>
      <c r="F12" s="10" t="s">
        <v>17</v>
      </c>
      <c r="G12" s="10" t="s">
        <v>17</v>
      </c>
    </row>
    <row r="13" spans="1:7" x14ac:dyDescent="0.25">
      <c r="A13" s="6" t="s">
        <v>29</v>
      </c>
      <c r="B13" s="7" t="s">
        <v>316</v>
      </c>
      <c r="C13" s="8">
        <v>1891618.5593000001</v>
      </c>
      <c r="D13" s="8">
        <v>1040153.23</v>
      </c>
      <c r="E13" s="9">
        <v>0.54987472230390499</v>
      </c>
      <c r="F13" s="10" t="s">
        <v>17</v>
      </c>
      <c r="G13" s="10" t="s">
        <v>17</v>
      </c>
    </row>
    <row r="14" spans="1:7" x14ac:dyDescent="0.25">
      <c r="A14" s="6" t="s">
        <v>30</v>
      </c>
      <c r="B14" s="7" t="s">
        <v>173</v>
      </c>
      <c r="C14" s="8">
        <v>1835889.91</v>
      </c>
      <c r="D14" s="8">
        <v>335322.28999999998</v>
      </c>
      <c r="E14" s="9">
        <v>0.18264836479220001</v>
      </c>
      <c r="F14" s="10" t="s">
        <v>4</v>
      </c>
      <c r="G14" s="11">
        <f>(D14 / F14)</f>
        <v>55.887048333333333</v>
      </c>
    </row>
    <row r="15" spans="1:7" x14ac:dyDescent="0.25">
      <c r="A15" s="6" t="s">
        <v>31</v>
      </c>
      <c r="B15" s="7" t="s">
        <v>299</v>
      </c>
      <c r="C15" s="8">
        <v>1726100.14</v>
      </c>
      <c r="D15" s="8">
        <v>1161713.26</v>
      </c>
      <c r="E15" s="9">
        <v>0.67302773059273402</v>
      </c>
      <c r="F15" s="10" t="s">
        <v>17</v>
      </c>
      <c r="G15" s="10" t="s">
        <v>17</v>
      </c>
    </row>
    <row r="16" spans="1:7" x14ac:dyDescent="0.25">
      <c r="A16" s="6" t="s">
        <v>32</v>
      </c>
      <c r="B16" s="7" t="s">
        <v>175</v>
      </c>
      <c r="C16" s="8">
        <v>1344210.61</v>
      </c>
      <c r="D16" s="8">
        <v>276453.27</v>
      </c>
      <c r="E16" s="9">
        <v>0.205662169263788</v>
      </c>
      <c r="F16" s="10" t="s">
        <v>17</v>
      </c>
      <c r="G16" s="10" t="s">
        <v>17</v>
      </c>
    </row>
    <row r="17" spans="1:7" x14ac:dyDescent="0.25">
      <c r="A17" s="6" t="s">
        <v>33</v>
      </c>
      <c r="B17" s="7" t="s">
        <v>296</v>
      </c>
      <c r="C17" s="8">
        <v>1252341.6200000001</v>
      </c>
      <c r="D17" s="8">
        <v>127189.75</v>
      </c>
      <c r="E17" s="9">
        <v>0.10156154516369099</v>
      </c>
      <c r="F17" s="10" t="s">
        <v>17</v>
      </c>
      <c r="G17" s="10" t="s">
        <v>17</v>
      </c>
    </row>
    <row r="18" spans="1:7" x14ac:dyDescent="0.25">
      <c r="A18" s="6" t="s">
        <v>34</v>
      </c>
      <c r="B18" s="7" t="s">
        <v>177</v>
      </c>
      <c r="C18" s="8">
        <v>1240155.1100000001</v>
      </c>
      <c r="D18" s="8">
        <v>268077.39</v>
      </c>
      <c r="E18" s="9">
        <v>0.216164403822035</v>
      </c>
      <c r="F18" s="10" t="s">
        <v>5</v>
      </c>
      <c r="G18" s="11">
        <f>(D18 / F18)</f>
        <v>119.14550666666668</v>
      </c>
    </row>
    <row r="19" spans="1:7" x14ac:dyDescent="0.25">
      <c r="A19" s="6" t="s">
        <v>35</v>
      </c>
      <c r="B19" s="7" t="s">
        <v>178</v>
      </c>
      <c r="C19" s="8">
        <v>1234342.4099999999</v>
      </c>
      <c r="D19" s="8">
        <v>266869.27</v>
      </c>
      <c r="E19" s="9">
        <v>0.21620359783311699</v>
      </c>
      <c r="F19" s="10" t="s">
        <v>17</v>
      </c>
      <c r="G19" s="10" t="s">
        <v>17</v>
      </c>
    </row>
    <row r="20" spans="1:7" x14ac:dyDescent="0.25">
      <c r="A20" s="6" t="s">
        <v>36</v>
      </c>
      <c r="B20" s="7" t="s">
        <v>176</v>
      </c>
      <c r="C20" s="8">
        <v>1233418.55</v>
      </c>
      <c r="D20" s="8">
        <v>305187.17</v>
      </c>
      <c r="E20" s="9">
        <v>0.247431960545753</v>
      </c>
      <c r="F20" s="10" t="s">
        <v>17</v>
      </c>
      <c r="G20" s="10" t="s">
        <v>17</v>
      </c>
    </row>
    <row r="21" spans="1:7" x14ac:dyDescent="0.25">
      <c r="A21" s="6" t="s">
        <v>37</v>
      </c>
      <c r="B21" s="7" t="s">
        <v>182</v>
      </c>
      <c r="C21" s="8">
        <v>1221369.1599999999</v>
      </c>
      <c r="D21" s="8">
        <v>39782.18</v>
      </c>
      <c r="E21" s="9">
        <v>3.2571790170303601E-2</v>
      </c>
      <c r="F21" s="10" t="s">
        <v>17</v>
      </c>
      <c r="G21" s="10" t="s">
        <v>17</v>
      </c>
    </row>
    <row r="22" spans="1:7" x14ac:dyDescent="0.25">
      <c r="A22" s="6" t="s">
        <v>38</v>
      </c>
      <c r="B22" s="7" t="s">
        <v>184</v>
      </c>
      <c r="C22" s="8">
        <v>1141129.95</v>
      </c>
      <c r="D22" s="8">
        <v>117209.14</v>
      </c>
      <c r="E22" s="9">
        <v>0.102713227358549</v>
      </c>
      <c r="F22" s="10" t="s">
        <v>17</v>
      </c>
      <c r="G22" s="10" t="s">
        <v>17</v>
      </c>
    </row>
    <row r="23" spans="1:7" x14ac:dyDescent="0.25">
      <c r="A23" s="6" t="s">
        <v>39</v>
      </c>
      <c r="B23" s="7" t="s">
        <v>180</v>
      </c>
      <c r="C23" s="8">
        <v>1136318.68</v>
      </c>
      <c r="D23" s="8">
        <v>311328.62</v>
      </c>
      <c r="E23" s="9">
        <v>0.27398002468814497</v>
      </c>
      <c r="F23" s="10" t="s">
        <v>17</v>
      </c>
      <c r="G23" s="10" t="s">
        <v>17</v>
      </c>
    </row>
    <row r="24" spans="1:7" x14ac:dyDescent="0.25">
      <c r="A24" s="6" t="s">
        <v>40</v>
      </c>
      <c r="B24" s="7" t="s">
        <v>186</v>
      </c>
      <c r="C24" s="8">
        <v>1133627.67</v>
      </c>
      <c r="D24" s="8">
        <v>23466.61</v>
      </c>
      <c r="E24" s="9">
        <v>2.0700456261798901E-2</v>
      </c>
      <c r="F24" s="10" t="s">
        <v>17</v>
      </c>
      <c r="G24" s="10" t="s">
        <v>17</v>
      </c>
    </row>
    <row r="25" spans="1:7" x14ac:dyDescent="0.25">
      <c r="A25" s="6" t="s">
        <v>41</v>
      </c>
      <c r="B25" s="7" t="s">
        <v>189</v>
      </c>
      <c r="C25" s="8">
        <v>1133488.1599999999</v>
      </c>
      <c r="D25" s="8">
        <v>301587.58</v>
      </c>
      <c r="E25" s="9">
        <v>0.26607033989662499</v>
      </c>
      <c r="F25" s="10" t="s">
        <v>17</v>
      </c>
      <c r="G25" s="10" t="s">
        <v>17</v>
      </c>
    </row>
    <row r="26" spans="1:7" x14ac:dyDescent="0.25">
      <c r="A26" s="6" t="s">
        <v>42</v>
      </c>
      <c r="B26" s="7" t="s">
        <v>179</v>
      </c>
      <c r="C26" s="8">
        <v>1120199.1200000001</v>
      </c>
      <c r="D26" s="8">
        <v>247990.05</v>
      </c>
      <c r="E26" s="9">
        <v>0.221380329240037</v>
      </c>
      <c r="F26" s="10" t="s">
        <v>4</v>
      </c>
      <c r="G26" s="11">
        <f>(D26 / F26)</f>
        <v>41.331674999999997</v>
      </c>
    </row>
    <row r="27" spans="1:7" x14ac:dyDescent="0.25">
      <c r="A27" s="12" t="s">
        <v>43</v>
      </c>
      <c r="B27" s="13" t="s">
        <v>181</v>
      </c>
      <c r="C27" s="14">
        <v>1038912.2122</v>
      </c>
      <c r="D27" s="14">
        <v>263241.75</v>
      </c>
      <c r="E27" s="15">
        <v>0.253382092258363</v>
      </c>
      <c r="F27" s="16" t="s">
        <v>6</v>
      </c>
      <c r="G27" s="17">
        <f>(D27 / F27)</f>
        <v>26.324175</v>
      </c>
    </row>
    <row r="28" spans="1:7" x14ac:dyDescent="0.25">
      <c r="A28" s="6" t="s">
        <v>44</v>
      </c>
      <c r="B28" s="7" t="s">
        <v>206</v>
      </c>
      <c r="C28" s="8">
        <v>1013168.48</v>
      </c>
      <c r="D28" s="8">
        <v>427799.87</v>
      </c>
      <c r="E28" s="9">
        <v>0.42223961606069699</v>
      </c>
      <c r="F28" s="10" t="s">
        <v>17</v>
      </c>
      <c r="G28" s="10" t="s">
        <v>17</v>
      </c>
    </row>
    <row r="29" spans="1:7" x14ac:dyDescent="0.25">
      <c r="A29" s="6" t="s">
        <v>45</v>
      </c>
      <c r="B29" s="7" t="s">
        <v>300</v>
      </c>
      <c r="C29" s="8">
        <v>997459.51</v>
      </c>
      <c r="D29" s="8">
        <v>242094.86</v>
      </c>
      <c r="E29" s="9">
        <v>0.242711466052391</v>
      </c>
      <c r="F29" s="10" t="s">
        <v>17</v>
      </c>
      <c r="G29" s="10" t="s">
        <v>17</v>
      </c>
    </row>
    <row r="30" spans="1:7" x14ac:dyDescent="0.25">
      <c r="A30" s="6" t="s">
        <v>46</v>
      </c>
      <c r="B30" s="7" t="s">
        <v>187</v>
      </c>
      <c r="C30" s="8">
        <v>963932.52</v>
      </c>
      <c r="D30" s="8">
        <v>192243.47</v>
      </c>
      <c r="E30" s="9">
        <v>0.19943664728730201</v>
      </c>
      <c r="F30" s="10" t="s">
        <v>17</v>
      </c>
      <c r="G30" s="10" t="s">
        <v>17</v>
      </c>
    </row>
    <row r="31" spans="1:7" x14ac:dyDescent="0.25">
      <c r="A31" s="6" t="s">
        <v>47</v>
      </c>
      <c r="B31" s="7" t="s">
        <v>188</v>
      </c>
      <c r="C31" s="8">
        <v>958180.67</v>
      </c>
      <c r="D31" s="8">
        <v>175316.24</v>
      </c>
      <c r="E31" s="9">
        <v>0.18296783215215601</v>
      </c>
      <c r="F31" s="10" t="s">
        <v>17</v>
      </c>
      <c r="G31" s="10" t="s">
        <v>17</v>
      </c>
    </row>
    <row r="32" spans="1:7" x14ac:dyDescent="0.25">
      <c r="A32" s="6" t="s">
        <v>48</v>
      </c>
      <c r="B32" s="7" t="s">
        <v>199</v>
      </c>
      <c r="C32" s="8">
        <v>929007.54</v>
      </c>
      <c r="D32" s="8">
        <v>314212.71999999997</v>
      </c>
      <c r="E32" s="9">
        <v>0.33822407942996902</v>
      </c>
      <c r="F32" s="10" t="s">
        <v>12</v>
      </c>
      <c r="G32" s="11">
        <f>(D32 / F32)</f>
        <v>69.825048888888887</v>
      </c>
    </row>
    <row r="33" spans="1:7" x14ac:dyDescent="0.25">
      <c r="A33" s="6" t="s">
        <v>49</v>
      </c>
      <c r="B33" s="7" t="s">
        <v>174</v>
      </c>
      <c r="C33" s="8">
        <v>926350.13</v>
      </c>
      <c r="D33" s="8">
        <v>801153.91</v>
      </c>
      <c r="E33" s="9">
        <v>0.86485000007502599</v>
      </c>
      <c r="F33" s="10" t="s">
        <v>17</v>
      </c>
      <c r="G33" s="10" t="s">
        <v>17</v>
      </c>
    </row>
    <row r="34" spans="1:7" x14ac:dyDescent="0.25">
      <c r="A34" s="6" t="s">
        <v>50</v>
      </c>
      <c r="B34" s="7" t="s">
        <v>185</v>
      </c>
      <c r="C34" s="8">
        <v>908899.04</v>
      </c>
      <c r="D34" s="8">
        <v>207171.93</v>
      </c>
      <c r="E34" s="9">
        <v>0.22793723052012499</v>
      </c>
      <c r="F34" s="10" t="s">
        <v>7</v>
      </c>
      <c r="G34" s="11">
        <f>(D34 / F34)</f>
        <v>59.191980000000001</v>
      </c>
    </row>
    <row r="35" spans="1:7" x14ac:dyDescent="0.25">
      <c r="A35" s="6" t="s">
        <v>51</v>
      </c>
      <c r="B35" s="7" t="s">
        <v>190</v>
      </c>
      <c r="C35" s="8">
        <v>888769.03</v>
      </c>
      <c r="D35" s="8">
        <v>260208.5</v>
      </c>
      <c r="E35" s="9">
        <v>0.29277404051759098</v>
      </c>
      <c r="F35" s="10" t="s">
        <v>17</v>
      </c>
      <c r="G35" s="10" t="s">
        <v>17</v>
      </c>
    </row>
    <row r="36" spans="1:7" x14ac:dyDescent="0.25">
      <c r="A36" s="6" t="s">
        <v>52</v>
      </c>
      <c r="B36" s="7" t="s">
        <v>194</v>
      </c>
      <c r="C36" s="8">
        <v>857313.3</v>
      </c>
      <c r="D36" s="8">
        <v>162798.5</v>
      </c>
      <c r="E36" s="9">
        <v>0.18989382294664001</v>
      </c>
      <c r="F36" s="10" t="s">
        <v>10</v>
      </c>
      <c r="G36" s="11">
        <f>(D36 / F36)</f>
        <v>325.59699999999998</v>
      </c>
    </row>
    <row r="37" spans="1:7" x14ac:dyDescent="0.25">
      <c r="A37" s="6" t="s">
        <v>53</v>
      </c>
      <c r="B37" s="7" t="s">
        <v>192</v>
      </c>
      <c r="C37" s="8">
        <v>849723.69</v>
      </c>
      <c r="D37" s="8">
        <v>185499.16</v>
      </c>
      <c r="E37" s="9">
        <v>0.218305270505051</v>
      </c>
      <c r="F37" s="10" t="s">
        <v>17</v>
      </c>
      <c r="G37" s="10" t="s">
        <v>17</v>
      </c>
    </row>
    <row r="38" spans="1:7" x14ac:dyDescent="0.25">
      <c r="A38" s="6" t="s">
        <v>54</v>
      </c>
      <c r="B38" s="7" t="s">
        <v>193</v>
      </c>
      <c r="C38" s="8">
        <v>821049.78</v>
      </c>
      <c r="D38" s="8">
        <v>154323.98000000001</v>
      </c>
      <c r="E38" s="9">
        <v>0.18795934638701201</v>
      </c>
      <c r="F38" s="10" t="s">
        <v>9</v>
      </c>
      <c r="G38" s="11">
        <f>(D38 / F38)</f>
        <v>60.519207843137259</v>
      </c>
    </row>
    <row r="39" spans="1:7" x14ac:dyDescent="0.25">
      <c r="A39" s="6" t="s">
        <v>55</v>
      </c>
      <c r="B39" s="7" t="s">
        <v>191</v>
      </c>
      <c r="C39" s="8">
        <v>807817.79</v>
      </c>
      <c r="D39" s="8">
        <v>172869.74</v>
      </c>
      <c r="E39" s="9">
        <v>0.213995955696891</v>
      </c>
      <c r="F39" s="10" t="s">
        <v>8</v>
      </c>
      <c r="G39" s="11">
        <f>(D39 / F39)</f>
        <v>64.025829629629627</v>
      </c>
    </row>
    <row r="40" spans="1:7" x14ac:dyDescent="0.25">
      <c r="A40" s="6" t="s">
        <v>56</v>
      </c>
      <c r="B40" s="7" t="s">
        <v>301</v>
      </c>
      <c r="C40" s="8">
        <v>807209.12</v>
      </c>
      <c r="D40" s="8">
        <v>537692.68999999994</v>
      </c>
      <c r="E40" s="9">
        <v>0.66611324956288898</v>
      </c>
      <c r="F40" s="10" t="s">
        <v>17</v>
      </c>
      <c r="G40" s="10" t="s">
        <v>17</v>
      </c>
    </row>
    <row r="41" spans="1:7" x14ac:dyDescent="0.25">
      <c r="A41" s="6" t="s">
        <v>57</v>
      </c>
      <c r="B41" s="7" t="s">
        <v>195</v>
      </c>
      <c r="C41" s="8">
        <v>804620.75</v>
      </c>
      <c r="D41" s="8">
        <v>194266.85</v>
      </c>
      <c r="E41" s="9">
        <v>0.24143902577705101</v>
      </c>
      <c r="F41" s="10" t="s">
        <v>17</v>
      </c>
      <c r="G41" s="10" t="s">
        <v>17</v>
      </c>
    </row>
    <row r="42" spans="1:7" x14ac:dyDescent="0.25">
      <c r="A42" s="6" t="s">
        <v>58</v>
      </c>
      <c r="B42" s="7" t="s">
        <v>219</v>
      </c>
      <c r="C42" s="8">
        <v>794858.97</v>
      </c>
      <c r="D42" s="8">
        <v>314274.65000000002</v>
      </c>
      <c r="E42" s="9">
        <v>0.39538416481605498</v>
      </c>
      <c r="F42" s="10" t="s">
        <v>17</v>
      </c>
      <c r="G42" s="10" t="s">
        <v>17</v>
      </c>
    </row>
    <row r="43" spans="1:7" x14ac:dyDescent="0.25">
      <c r="A43" s="6" t="s">
        <v>59</v>
      </c>
      <c r="B43" s="7" t="s">
        <v>302</v>
      </c>
      <c r="C43" s="8">
        <v>758342.55</v>
      </c>
      <c r="D43" s="8">
        <v>406897.82</v>
      </c>
      <c r="E43" s="9">
        <v>0.53656203255375801</v>
      </c>
      <c r="F43" s="10" t="s">
        <v>17</v>
      </c>
      <c r="G43" s="10" t="s">
        <v>17</v>
      </c>
    </row>
    <row r="44" spans="1:7" x14ac:dyDescent="0.25">
      <c r="A44" s="6" t="s">
        <v>60</v>
      </c>
      <c r="B44" s="7" t="s">
        <v>252</v>
      </c>
      <c r="C44" s="8">
        <v>717243.28</v>
      </c>
      <c r="D44" s="8">
        <v>134455.91</v>
      </c>
      <c r="E44" s="9">
        <v>0.18746207005243701</v>
      </c>
      <c r="F44" s="10" t="s">
        <v>17</v>
      </c>
      <c r="G44" s="10" t="s">
        <v>17</v>
      </c>
    </row>
    <row r="45" spans="1:7" x14ac:dyDescent="0.25">
      <c r="A45" s="6" t="s">
        <v>61</v>
      </c>
      <c r="B45" s="7" t="s">
        <v>196</v>
      </c>
      <c r="C45" s="8">
        <v>710323.52</v>
      </c>
      <c r="D45" s="8">
        <v>94668.44</v>
      </c>
      <c r="E45" s="9">
        <v>0.13327510258987299</v>
      </c>
      <c r="F45" s="10" t="s">
        <v>17</v>
      </c>
      <c r="G45" s="10" t="s">
        <v>17</v>
      </c>
    </row>
    <row r="46" spans="1:7" x14ac:dyDescent="0.25">
      <c r="A46" s="6" t="s">
        <v>62</v>
      </c>
      <c r="B46" s="7" t="s">
        <v>198</v>
      </c>
      <c r="C46" s="8">
        <v>697066.08</v>
      </c>
      <c r="D46" s="8">
        <v>110726.97</v>
      </c>
      <c r="E46" s="9">
        <v>0.15884716410243299</v>
      </c>
      <c r="F46" s="10" t="s">
        <v>17</v>
      </c>
      <c r="G46" s="10" t="s">
        <v>17</v>
      </c>
    </row>
    <row r="47" spans="1:7" x14ac:dyDescent="0.25">
      <c r="A47" s="6" t="s">
        <v>63</v>
      </c>
      <c r="B47" s="7" t="s">
        <v>201</v>
      </c>
      <c r="C47" s="8">
        <v>638238.23</v>
      </c>
      <c r="D47" s="8">
        <v>119981.19</v>
      </c>
      <c r="E47" s="9">
        <v>0.187988096545078</v>
      </c>
      <c r="F47" s="10" t="s">
        <v>13</v>
      </c>
      <c r="G47" s="11">
        <f>(D47 / F47)</f>
        <v>39.993729999999999</v>
      </c>
    </row>
    <row r="48" spans="1:7" x14ac:dyDescent="0.25">
      <c r="A48" s="6" t="s">
        <v>64</v>
      </c>
      <c r="B48" s="7" t="s">
        <v>213</v>
      </c>
      <c r="C48" s="8">
        <v>634698.86</v>
      </c>
      <c r="D48" s="8">
        <v>7244.69</v>
      </c>
      <c r="E48" s="9">
        <v>1.14143737393825E-2</v>
      </c>
      <c r="F48" s="10" t="s">
        <v>17</v>
      </c>
      <c r="G48" s="10" t="s">
        <v>17</v>
      </c>
    </row>
    <row r="49" spans="1:7" x14ac:dyDescent="0.25">
      <c r="A49" s="6" t="s">
        <v>65</v>
      </c>
      <c r="B49" s="7" t="s">
        <v>197</v>
      </c>
      <c r="C49" s="8">
        <v>626615.52</v>
      </c>
      <c r="D49" s="8">
        <v>159627.99</v>
      </c>
      <c r="E49" s="9">
        <v>0.25474630759225397</v>
      </c>
      <c r="F49" s="10" t="s">
        <v>11</v>
      </c>
      <c r="G49" s="11">
        <f>(D49 / F49)</f>
        <v>42.416010564942773</v>
      </c>
    </row>
    <row r="50" spans="1:7" x14ac:dyDescent="0.25">
      <c r="A50" s="6" t="s">
        <v>66</v>
      </c>
      <c r="B50" s="7" t="s">
        <v>205</v>
      </c>
      <c r="C50" s="8">
        <v>593692.63</v>
      </c>
      <c r="D50" s="8">
        <v>86924.75</v>
      </c>
      <c r="E50" s="9">
        <v>0.14641372590392401</v>
      </c>
      <c r="F50" s="10" t="s">
        <v>17</v>
      </c>
      <c r="G50" s="10" t="s">
        <v>17</v>
      </c>
    </row>
    <row r="51" spans="1:7" x14ac:dyDescent="0.25">
      <c r="A51" s="6" t="s">
        <v>67</v>
      </c>
      <c r="B51" s="7" t="s">
        <v>202</v>
      </c>
      <c r="C51" s="8">
        <v>565287.51</v>
      </c>
      <c r="D51" s="8">
        <v>115803</v>
      </c>
      <c r="E51" s="9">
        <v>0.20485681702042199</v>
      </c>
      <c r="F51" s="10" t="s">
        <v>17</v>
      </c>
      <c r="G51" s="10" t="s">
        <v>17</v>
      </c>
    </row>
    <row r="52" spans="1:7" x14ac:dyDescent="0.25">
      <c r="A52" s="6" t="s">
        <v>68</v>
      </c>
      <c r="B52" s="7" t="s">
        <v>203</v>
      </c>
      <c r="C52" s="8">
        <v>553932.18000000005</v>
      </c>
      <c r="D52" s="8">
        <v>61702.2</v>
      </c>
      <c r="E52" s="9">
        <v>0.111389448433922</v>
      </c>
      <c r="F52" s="10" t="s">
        <v>17</v>
      </c>
      <c r="G52" s="10" t="s">
        <v>17</v>
      </c>
    </row>
    <row r="53" spans="1:7" x14ac:dyDescent="0.25">
      <c r="A53" s="6" t="s">
        <v>69</v>
      </c>
      <c r="B53" s="7" t="s">
        <v>204</v>
      </c>
      <c r="C53" s="8">
        <v>524803.68999999994</v>
      </c>
      <c r="D53" s="8">
        <v>104229.92</v>
      </c>
      <c r="E53" s="9">
        <v>0.198607445004817</v>
      </c>
      <c r="F53" s="10" t="s">
        <v>17</v>
      </c>
      <c r="G53" s="10" t="s">
        <v>17</v>
      </c>
    </row>
    <row r="54" spans="1:7" x14ac:dyDescent="0.25">
      <c r="A54" s="6" t="s">
        <v>70</v>
      </c>
      <c r="B54" s="7" t="s">
        <v>237</v>
      </c>
      <c r="C54" s="8">
        <v>494388.4</v>
      </c>
      <c r="D54" s="8">
        <v>211352.86</v>
      </c>
      <c r="E54" s="9">
        <v>0.42750367929344602</v>
      </c>
      <c r="F54" s="10" t="s">
        <v>17</v>
      </c>
      <c r="G54" s="10" t="s">
        <v>17</v>
      </c>
    </row>
    <row r="55" spans="1:7" x14ac:dyDescent="0.25">
      <c r="A55" s="6" t="s">
        <v>71</v>
      </c>
      <c r="B55" s="7" t="s">
        <v>200</v>
      </c>
      <c r="C55" s="8">
        <v>476800.17</v>
      </c>
      <c r="D55" s="8">
        <v>95361.95</v>
      </c>
      <c r="E55" s="9">
        <v>0.20000401845494301</v>
      </c>
      <c r="F55" s="10" t="s">
        <v>17</v>
      </c>
      <c r="G55" s="10" t="s">
        <v>17</v>
      </c>
    </row>
    <row r="56" spans="1:7" x14ac:dyDescent="0.25">
      <c r="A56" s="6" t="s">
        <v>72</v>
      </c>
      <c r="B56" s="7" t="s">
        <v>215</v>
      </c>
      <c r="C56" s="8">
        <v>468017.07</v>
      </c>
      <c r="D56" s="8">
        <v>73004.539999999994</v>
      </c>
      <c r="E56" s="9">
        <v>0.155986917314789</v>
      </c>
      <c r="F56" s="10" t="s">
        <v>17</v>
      </c>
      <c r="G56" s="10" t="s">
        <v>17</v>
      </c>
    </row>
    <row r="57" spans="1:7" x14ac:dyDescent="0.25">
      <c r="A57" s="6" t="s">
        <v>73</v>
      </c>
      <c r="B57" s="7" t="s">
        <v>207</v>
      </c>
      <c r="C57" s="8">
        <v>462108.4</v>
      </c>
      <c r="D57" s="8">
        <v>137588.20000000001</v>
      </c>
      <c r="E57" s="9">
        <v>0.29774009734512502</v>
      </c>
      <c r="F57" s="10" t="s">
        <v>17</v>
      </c>
      <c r="G57" s="10" t="s">
        <v>17</v>
      </c>
    </row>
    <row r="58" spans="1:7" x14ac:dyDescent="0.25">
      <c r="A58" s="6" t="s">
        <v>74</v>
      </c>
      <c r="B58" s="7" t="s">
        <v>208</v>
      </c>
      <c r="C58" s="8">
        <v>460790.70169999998</v>
      </c>
      <c r="D58" s="8">
        <v>94985.4</v>
      </c>
      <c r="E58" s="9">
        <v>0.20613566994639701</v>
      </c>
      <c r="F58" s="10" t="s">
        <v>14</v>
      </c>
      <c r="G58" s="11">
        <f>(D58 / F58)</f>
        <v>37.994160000000001</v>
      </c>
    </row>
    <row r="59" spans="1:7" x14ac:dyDescent="0.25">
      <c r="A59" s="6" t="s">
        <v>75</v>
      </c>
      <c r="B59" s="7" t="s">
        <v>221</v>
      </c>
      <c r="C59" s="8">
        <v>456227.49</v>
      </c>
      <c r="D59" s="8">
        <v>162817.44</v>
      </c>
      <c r="E59" s="9">
        <v>0.35687774973840403</v>
      </c>
      <c r="F59" s="10" t="s">
        <v>17</v>
      </c>
      <c r="G59" s="10" t="s">
        <v>17</v>
      </c>
    </row>
    <row r="60" spans="1:7" x14ac:dyDescent="0.25">
      <c r="A60" s="6" t="s">
        <v>76</v>
      </c>
      <c r="B60" s="7" t="s">
        <v>250</v>
      </c>
      <c r="C60" s="8">
        <v>441237.47</v>
      </c>
      <c r="D60" s="8">
        <v>220091.46</v>
      </c>
      <c r="E60" s="9">
        <v>0.498805008559223</v>
      </c>
      <c r="F60" s="10" t="s">
        <v>17</v>
      </c>
      <c r="G60" s="10" t="s">
        <v>17</v>
      </c>
    </row>
    <row r="61" spans="1:7" x14ac:dyDescent="0.25">
      <c r="A61" s="6" t="s">
        <v>77</v>
      </c>
      <c r="B61" s="7" t="s">
        <v>223</v>
      </c>
      <c r="C61" s="8">
        <v>432009.61</v>
      </c>
      <c r="D61" s="8">
        <v>57200.74</v>
      </c>
      <c r="E61" s="9">
        <v>0.13240617494596901</v>
      </c>
      <c r="F61" s="10" t="s">
        <v>17</v>
      </c>
      <c r="G61" s="10" t="s">
        <v>17</v>
      </c>
    </row>
    <row r="62" spans="1:7" x14ac:dyDescent="0.25">
      <c r="A62" s="6" t="s">
        <v>78</v>
      </c>
      <c r="B62" s="7" t="s">
        <v>214</v>
      </c>
      <c r="C62" s="8">
        <v>412654.31</v>
      </c>
      <c r="D62" s="8">
        <v>19167.599999999999</v>
      </c>
      <c r="E62" s="9">
        <v>4.6449533024385502E-2</v>
      </c>
      <c r="F62" s="10" t="s">
        <v>17</v>
      </c>
      <c r="G62" s="10" t="s">
        <v>17</v>
      </c>
    </row>
    <row r="63" spans="1:7" x14ac:dyDescent="0.25">
      <c r="A63" s="6" t="s">
        <v>79</v>
      </c>
      <c r="B63" s="7" t="s">
        <v>211</v>
      </c>
      <c r="C63" s="8">
        <v>408475.27</v>
      </c>
      <c r="D63" s="8">
        <v>62052</v>
      </c>
      <c r="E63" s="9">
        <v>0.15191127727267301</v>
      </c>
      <c r="F63" s="10" t="s">
        <v>17</v>
      </c>
      <c r="G63" s="10" t="s">
        <v>17</v>
      </c>
    </row>
    <row r="64" spans="1:7" x14ac:dyDescent="0.25">
      <c r="A64" s="6" t="s">
        <v>80</v>
      </c>
      <c r="B64" s="7" t="s">
        <v>304</v>
      </c>
      <c r="C64" s="8">
        <v>403890.99</v>
      </c>
      <c r="D64" s="8">
        <v>75914.27</v>
      </c>
      <c r="E64" s="9">
        <v>0.18795732482173</v>
      </c>
      <c r="F64" s="10" t="s">
        <v>17</v>
      </c>
      <c r="G64" s="10" t="s">
        <v>17</v>
      </c>
    </row>
    <row r="65" spans="1:7" x14ac:dyDescent="0.25">
      <c r="A65" s="6" t="s">
        <v>81</v>
      </c>
      <c r="B65" s="7" t="s">
        <v>209</v>
      </c>
      <c r="C65" s="8">
        <v>402625.77</v>
      </c>
      <c r="D65" s="8">
        <v>67929.81</v>
      </c>
      <c r="E65" s="9">
        <v>0.168716994940488</v>
      </c>
      <c r="F65" s="10" t="s">
        <v>17</v>
      </c>
      <c r="G65" s="10" t="s">
        <v>17</v>
      </c>
    </row>
    <row r="66" spans="1:7" x14ac:dyDescent="0.25">
      <c r="A66" s="6" t="s">
        <v>82</v>
      </c>
      <c r="B66" s="7" t="s">
        <v>212</v>
      </c>
      <c r="C66" s="8">
        <v>398534.92</v>
      </c>
      <c r="D66" s="8">
        <v>75154.649999999994</v>
      </c>
      <c r="E66" s="9">
        <v>0.18857732717624801</v>
      </c>
      <c r="F66" s="10" t="s">
        <v>17</v>
      </c>
      <c r="G66" s="10" t="s">
        <v>17</v>
      </c>
    </row>
    <row r="67" spans="1:7" x14ac:dyDescent="0.25">
      <c r="A67" s="6" t="s">
        <v>83</v>
      </c>
      <c r="B67" s="7" t="s">
        <v>210</v>
      </c>
      <c r="C67" s="8">
        <v>377979.04100000003</v>
      </c>
      <c r="D67" s="8">
        <v>71528.41</v>
      </c>
      <c r="E67" s="9">
        <v>0.189239090640478</v>
      </c>
      <c r="F67" s="10" t="s">
        <v>17</v>
      </c>
      <c r="G67" s="10" t="s">
        <v>17</v>
      </c>
    </row>
    <row r="68" spans="1:7" x14ac:dyDescent="0.25">
      <c r="A68" s="6" t="s">
        <v>84</v>
      </c>
      <c r="B68" s="7" t="s">
        <v>218</v>
      </c>
      <c r="C68" s="8">
        <v>374138.39</v>
      </c>
      <c r="D68" s="8">
        <v>54267.68</v>
      </c>
      <c r="E68" s="9">
        <v>0.145047077366212</v>
      </c>
      <c r="F68" s="10" t="s">
        <v>17</v>
      </c>
      <c r="G68" s="10" t="s">
        <v>17</v>
      </c>
    </row>
    <row r="69" spans="1:7" x14ac:dyDescent="0.25">
      <c r="A69" s="6" t="s">
        <v>85</v>
      </c>
      <c r="B69" s="7" t="s">
        <v>220</v>
      </c>
      <c r="C69" s="8">
        <v>360346.13</v>
      </c>
      <c r="D69" s="8">
        <v>64364.02</v>
      </c>
      <c r="E69" s="9">
        <v>0.17861720895961899</v>
      </c>
      <c r="F69" s="10" t="s">
        <v>17</v>
      </c>
      <c r="G69" s="10" t="s">
        <v>17</v>
      </c>
    </row>
    <row r="70" spans="1:7" x14ac:dyDescent="0.25">
      <c r="A70" s="6" t="s">
        <v>86</v>
      </c>
      <c r="B70" s="7" t="s">
        <v>222</v>
      </c>
      <c r="C70" s="8">
        <v>357302.12</v>
      </c>
      <c r="D70" s="8">
        <v>41499.72</v>
      </c>
      <c r="E70" s="9">
        <v>0.116147421683364</v>
      </c>
      <c r="F70" s="10" t="s">
        <v>17</v>
      </c>
      <c r="G70" s="10" t="s">
        <v>17</v>
      </c>
    </row>
    <row r="71" spans="1:7" x14ac:dyDescent="0.25">
      <c r="A71" s="6" t="s">
        <v>87</v>
      </c>
      <c r="B71" s="7" t="s">
        <v>217</v>
      </c>
      <c r="C71" s="8">
        <v>342596.26</v>
      </c>
      <c r="D71" s="8">
        <v>51019.98</v>
      </c>
      <c r="E71" s="9">
        <v>0.148921590679361</v>
      </c>
      <c r="F71" s="10" t="s">
        <v>15</v>
      </c>
      <c r="G71" s="11">
        <f>(D71 / F71)</f>
        <v>51.019980000000004</v>
      </c>
    </row>
    <row r="72" spans="1:7" x14ac:dyDescent="0.25">
      <c r="A72" s="6" t="s">
        <v>88</v>
      </c>
      <c r="B72" s="7" t="s">
        <v>226</v>
      </c>
      <c r="C72" s="8">
        <v>322267.19</v>
      </c>
      <c r="D72" s="8">
        <v>20571.72</v>
      </c>
      <c r="E72" s="9">
        <v>6.3834360550324695E-2</v>
      </c>
      <c r="F72" s="10" t="s">
        <v>17</v>
      </c>
      <c r="G72" s="10" t="s">
        <v>17</v>
      </c>
    </row>
    <row r="73" spans="1:7" x14ac:dyDescent="0.25">
      <c r="A73" s="6" t="s">
        <v>89</v>
      </c>
      <c r="B73" s="7" t="s">
        <v>216</v>
      </c>
      <c r="C73" s="8">
        <v>319079.13</v>
      </c>
      <c r="D73" s="8">
        <v>167966.4</v>
      </c>
      <c r="E73" s="9">
        <v>0.52640985952293395</v>
      </c>
      <c r="F73" s="10" t="s">
        <v>17</v>
      </c>
      <c r="G73" s="10" t="s">
        <v>17</v>
      </c>
    </row>
    <row r="74" spans="1:7" x14ac:dyDescent="0.25">
      <c r="A74" s="6" t="s">
        <v>90</v>
      </c>
      <c r="B74" s="7" t="s">
        <v>227</v>
      </c>
      <c r="C74" s="8">
        <v>316074.33</v>
      </c>
      <c r="D74" s="8">
        <v>27703.24</v>
      </c>
      <c r="E74" s="9">
        <v>8.7647864348870105E-2</v>
      </c>
      <c r="F74" s="10" t="s">
        <v>17</v>
      </c>
      <c r="G74" s="10" t="s">
        <v>17</v>
      </c>
    </row>
    <row r="75" spans="1:7" x14ac:dyDescent="0.25">
      <c r="A75" s="6" t="s">
        <v>91</v>
      </c>
      <c r="B75" s="7" t="s">
        <v>303</v>
      </c>
      <c r="C75" s="8">
        <v>309374</v>
      </c>
      <c r="D75" s="8">
        <v>17946.919999999998</v>
      </c>
      <c r="E75" s="9">
        <v>5.8010433973119897E-2</v>
      </c>
      <c r="F75" s="10" t="s">
        <v>17</v>
      </c>
      <c r="G75" s="10" t="s">
        <v>17</v>
      </c>
    </row>
    <row r="76" spans="1:7" x14ac:dyDescent="0.25">
      <c r="A76" s="6" t="s">
        <v>92</v>
      </c>
      <c r="B76" s="7" t="s">
        <v>224</v>
      </c>
      <c r="C76" s="8">
        <v>303956.62</v>
      </c>
      <c r="D76" s="8">
        <v>59641.83</v>
      </c>
      <c r="E76" s="9">
        <v>0.196218230088228</v>
      </c>
      <c r="F76" s="10" t="s">
        <v>17</v>
      </c>
      <c r="G76" s="10" t="s">
        <v>17</v>
      </c>
    </row>
    <row r="77" spans="1:7" x14ac:dyDescent="0.25">
      <c r="A77" s="6" t="s">
        <v>93</v>
      </c>
      <c r="B77" s="7" t="s">
        <v>228</v>
      </c>
      <c r="C77" s="8">
        <v>294952.68</v>
      </c>
      <c r="D77" s="8">
        <v>14642.02</v>
      </c>
      <c r="E77" s="9">
        <v>4.9641929003662599E-2</v>
      </c>
      <c r="F77" s="10" t="s">
        <v>17</v>
      </c>
      <c r="G77" s="10" t="s">
        <v>17</v>
      </c>
    </row>
    <row r="78" spans="1:7" x14ac:dyDescent="0.25">
      <c r="A78" s="6" t="s">
        <v>94</v>
      </c>
      <c r="B78" s="7" t="s">
        <v>229</v>
      </c>
      <c r="C78" s="8">
        <v>286244.77</v>
      </c>
      <c r="D78" s="8">
        <v>28500.14</v>
      </c>
      <c r="E78" s="9">
        <v>9.9565626998180598E-2</v>
      </c>
      <c r="F78" s="10" t="s">
        <v>17</v>
      </c>
      <c r="G78" s="10" t="s">
        <v>17</v>
      </c>
    </row>
    <row r="79" spans="1:7" x14ac:dyDescent="0.25">
      <c r="A79" s="6" t="s">
        <v>95</v>
      </c>
      <c r="B79" s="7" t="s">
        <v>232</v>
      </c>
      <c r="C79" s="8">
        <v>279231.7</v>
      </c>
      <c r="D79" s="8">
        <v>13074.25</v>
      </c>
      <c r="E79" s="9">
        <v>4.6822226846020699E-2</v>
      </c>
      <c r="F79" s="10" t="s">
        <v>17</v>
      </c>
      <c r="G79" s="10" t="s">
        <v>17</v>
      </c>
    </row>
    <row r="80" spans="1:7" x14ac:dyDescent="0.25">
      <c r="A80" s="6" t="s">
        <v>96</v>
      </c>
      <c r="B80" s="7" t="s">
        <v>231</v>
      </c>
      <c r="C80" s="8">
        <v>276980.93</v>
      </c>
      <c r="D80" s="8">
        <v>22806.69</v>
      </c>
      <c r="E80" s="9">
        <v>8.2340289636546493E-2</v>
      </c>
      <c r="F80" s="10" t="s">
        <v>17</v>
      </c>
      <c r="G80" s="10" t="s">
        <v>17</v>
      </c>
    </row>
    <row r="81" spans="1:7" x14ac:dyDescent="0.25">
      <c r="A81" s="6" t="s">
        <v>97</v>
      </c>
      <c r="B81" s="7" t="s">
        <v>254</v>
      </c>
      <c r="C81" s="8">
        <v>275497.71000000002</v>
      </c>
      <c r="D81" s="8">
        <v>43360.81</v>
      </c>
      <c r="E81" s="9">
        <v>0.15739081823946899</v>
      </c>
      <c r="F81" s="10" t="s">
        <v>17</v>
      </c>
      <c r="G81" s="10" t="s">
        <v>17</v>
      </c>
    </row>
    <row r="82" spans="1:7" x14ac:dyDescent="0.25">
      <c r="A82" s="6" t="s">
        <v>98</v>
      </c>
      <c r="B82" s="7" t="s">
        <v>234</v>
      </c>
      <c r="C82" s="8">
        <v>264201.07</v>
      </c>
      <c r="D82" s="8">
        <v>25526.33</v>
      </c>
      <c r="E82" s="9">
        <v>9.6617057606920395E-2</v>
      </c>
      <c r="F82" s="10" t="s">
        <v>17</v>
      </c>
      <c r="G82" s="10" t="s">
        <v>17</v>
      </c>
    </row>
    <row r="83" spans="1:7" x14ac:dyDescent="0.25">
      <c r="A83" s="6" t="s">
        <v>99</v>
      </c>
      <c r="B83" s="7" t="s">
        <v>233</v>
      </c>
      <c r="C83" s="8">
        <v>256181.64</v>
      </c>
      <c r="D83" s="8">
        <v>47247.97</v>
      </c>
      <c r="E83" s="9">
        <v>0.18443152288352899</v>
      </c>
      <c r="F83" s="10" t="s">
        <v>17</v>
      </c>
      <c r="G83" s="10" t="s">
        <v>17</v>
      </c>
    </row>
    <row r="84" spans="1:7" x14ac:dyDescent="0.25">
      <c r="A84" s="12" t="s">
        <v>100</v>
      </c>
      <c r="B84" s="13" t="s">
        <v>225</v>
      </c>
      <c r="C84" s="14">
        <v>249645.78</v>
      </c>
      <c r="D84" s="14">
        <v>47312.81</v>
      </c>
      <c r="E84" s="15">
        <v>0.189519766767137</v>
      </c>
      <c r="F84" s="16" t="s">
        <v>12</v>
      </c>
      <c r="G84" s="17">
        <f>(D84 / F84)</f>
        <v>10.513957777777778</v>
      </c>
    </row>
    <row r="85" spans="1:7" x14ac:dyDescent="0.25">
      <c r="A85" s="6" t="s">
        <v>101</v>
      </c>
      <c r="B85" s="7" t="s">
        <v>235</v>
      </c>
      <c r="C85" s="8">
        <v>238683.04</v>
      </c>
      <c r="D85" s="8">
        <v>25483.22</v>
      </c>
      <c r="E85" s="9">
        <v>0.106765943654815</v>
      </c>
      <c r="F85" s="10" t="s">
        <v>17</v>
      </c>
      <c r="G85" s="10" t="s">
        <v>17</v>
      </c>
    </row>
    <row r="86" spans="1:7" x14ac:dyDescent="0.25">
      <c r="A86" s="6" t="s">
        <v>102</v>
      </c>
      <c r="B86" s="7" t="s">
        <v>236</v>
      </c>
      <c r="C86" s="8">
        <v>225921.83</v>
      </c>
      <c r="D86" s="8">
        <v>73904.289999999994</v>
      </c>
      <c r="E86" s="9">
        <v>0.32712327976451</v>
      </c>
      <c r="F86" s="10" t="s">
        <v>17</v>
      </c>
      <c r="G86" s="10" t="s">
        <v>17</v>
      </c>
    </row>
    <row r="87" spans="1:7" x14ac:dyDescent="0.25">
      <c r="A87" s="6" t="s">
        <v>103</v>
      </c>
      <c r="B87" s="7" t="s">
        <v>305</v>
      </c>
      <c r="C87" s="8">
        <v>212924.4</v>
      </c>
      <c r="D87" s="8">
        <v>158784.04999999999</v>
      </c>
      <c r="E87" s="9">
        <v>0.74572970500327795</v>
      </c>
      <c r="F87" s="10" t="s">
        <v>17</v>
      </c>
      <c r="G87" s="10" t="s">
        <v>17</v>
      </c>
    </row>
    <row r="88" spans="1:7" x14ac:dyDescent="0.25">
      <c r="A88" s="12" t="s">
        <v>104</v>
      </c>
      <c r="B88" s="13" t="s">
        <v>230</v>
      </c>
      <c r="C88" s="14">
        <v>202823.11</v>
      </c>
      <c r="D88" s="14">
        <v>44063.53</v>
      </c>
      <c r="E88" s="15">
        <v>0.217251032192535</v>
      </c>
      <c r="F88" s="16" t="s">
        <v>292</v>
      </c>
      <c r="G88" s="17">
        <f>(D88 / F88)</f>
        <v>11.909062162162162</v>
      </c>
    </row>
    <row r="89" spans="1:7" x14ac:dyDescent="0.25">
      <c r="A89" s="6" t="s">
        <v>105</v>
      </c>
      <c r="B89" s="7" t="s">
        <v>238</v>
      </c>
      <c r="C89" s="8">
        <v>199090</v>
      </c>
      <c r="D89" s="8">
        <v>12274.85</v>
      </c>
      <c r="E89" s="9">
        <v>6.1654779245567302E-2</v>
      </c>
      <c r="F89" s="10" t="s">
        <v>17</v>
      </c>
      <c r="G89" s="10" t="s">
        <v>17</v>
      </c>
    </row>
    <row r="90" spans="1:7" x14ac:dyDescent="0.25">
      <c r="A90" s="6" t="s">
        <v>106</v>
      </c>
      <c r="B90" s="7" t="s">
        <v>239</v>
      </c>
      <c r="C90" s="8">
        <v>192115.96</v>
      </c>
      <c r="D90" s="8">
        <v>159630.76999999999</v>
      </c>
      <c r="E90" s="9">
        <v>0.83090842634833695</v>
      </c>
      <c r="F90" s="10" t="s">
        <v>17</v>
      </c>
      <c r="G90" s="10" t="s">
        <v>17</v>
      </c>
    </row>
    <row r="91" spans="1:7" x14ac:dyDescent="0.25">
      <c r="A91" s="6" t="s">
        <v>107</v>
      </c>
      <c r="B91" s="7" t="s">
        <v>275</v>
      </c>
      <c r="C91" s="8">
        <v>182658.03</v>
      </c>
      <c r="D91" s="8">
        <v>20125.830000000002</v>
      </c>
      <c r="E91" s="9">
        <v>0.110183111029939</v>
      </c>
      <c r="F91" s="10" t="s">
        <v>17</v>
      </c>
      <c r="G91" s="10" t="s">
        <v>17</v>
      </c>
    </row>
    <row r="92" spans="1:7" x14ac:dyDescent="0.25">
      <c r="A92" s="6" t="s">
        <v>108</v>
      </c>
      <c r="B92" s="7" t="s">
        <v>240</v>
      </c>
      <c r="C92" s="8">
        <v>161569.79999999999</v>
      </c>
      <c r="D92" s="8">
        <v>12123.28</v>
      </c>
      <c r="E92" s="9">
        <v>7.5034319532486904E-2</v>
      </c>
      <c r="F92" s="10" t="s">
        <v>17</v>
      </c>
      <c r="G92" s="10" t="s">
        <v>17</v>
      </c>
    </row>
    <row r="93" spans="1:7" x14ac:dyDescent="0.25">
      <c r="A93" s="6" t="s">
        <v>109</v>
      </c>
      <c r="B93" s="7" t="s">
        <v>276</v>
      </c>
      <c r="C93" s="8">
        <v>153836.53</v>
      </c>
      <c r="D93" s="8">
        <v>19500.740000000002</v>
      </c>
      <c r="E93" s="9">
        <v>0.126762739643178</v>
      </c>
      <c r="F93" s="10" t="s">
        <v>17</v>
      </c>
      <c r="G93" s="10" t="s">
        <v>17</v>
      </c>
    </row>
    <row r="94" spans="1:7" x14ac:dyDescent="0.25">
      <c r="A94" s="6" t="s">
        <v>110</v>
      </c>
      <c r="B94" s="7" t="s">
        <v>307</v>
      </c>
      <c r="C94" s="8">
        <v>151495.60999999999</v>
      </c>
      <c r="D94" s="8">
        <v>94731.839999999997</v>
      </c>
      <c r="E94" s="9">
        <v>0.625310792834195</v>
      </c>
      <c r="F94" s="10" t="s">
        <v>17</v>
      </c>
      <c r="G94" s="10" t="s">
        <v>17</v>
      </c>
    </row>
    <row r="95" spans="1:7" x14ac:dyDescent="0.25">
      <c r="A95" s="6" t="s">
        <v>111</v>
      </c>
      <c r="B95" s="7" t="s">
        <v>243</v>
      </c>
      <c r="C95" s="8">
        <v>149088.41</v>
      </c>
      <c r="D95" s="8">
        <v>11074.69</v>
      </c>
      <c r="E95" s="9">
        <v>7.4282702458226005E-2</v>
      </c>
      <c r="F95" s="10" t="s">
        <v>17</v>
      </c>
      <c r="G95" s="10" t="s">
        <v>17</v>
      </c>
    </row>
    <row r="96" spans="1:7" x14ac:dyDescent="0.25">
      <c r="A96" s="6" t="s">
        <v>112</v>
      </c>
      <c r="B96" s="7" t="s">
        <v>241</v>
      </c>
      <c r="C96" s="8">
        <v>144794.73000000001</v>
      </c>
      <c r="D96" s="8">
        <v>18948.39</v>
      </c>
      <c r="E96" s="9">
        <v>0.13086380975329701</v>
      </c>
      <c r="F96" s="10" t="s">
        <v>16</v>
      </c>
      <c r="G96" s="11">
        <f>(D96 / F96)</f>
        <v>52.928463687150838</v>
      </c>
    </row>
    <row r="97" spans="1:7" x14ac:dyDescent="0.25">
      <c r="A97" s="6" t="s">
        <v>113</v>
      </c>
      <c r="B97" s="7" t="s">
        <v>244</v>
      </c>
      <c r="C97" s="8">
        <v>142984.63</v>
      </c>
      <c r="D97" s="8">
        <v>6028.75</v>
      </c>
      <c r="E97" s="9">
        <v>4.2163622761411501E-2</v>
      </c>
      <c r="F97" s="10" t="s">
        <v>17</v>
      </c>
      <c r="G97" s="10" t="s">
        <v>17</v>
      </c>
    </row>
    <row r="98" spans="1:7" x14ac:dyDescent="0.25">
      <c r="A98" s="6" t="s">
        <v>114</v>
      </c>
      <c r="B98" s="7" t="s">
        <v>320</v>
      </c>
      <c r="C98" s="8">
        <v>139196.29</v>
      </c>
      <c r="D98" s="8">
        <v>139196.29</v>
      </c>
      <c r="E98" s="9">
        <v>1</v>
      </c>
      <c r="F98" s="10" t="s">
        <v>17</v>
      </c>
      <c r="G98" s="10" t="s">
        <v>17</v>
      </c>
    </row>
    <row r="99" spans="1:7" x14ac:dyDescent="0.25">
      <c r="A99" s="6" t="s">
        <v>115</v>
      </c>
      <c r="B99" s="7" t="s">
        <v>246</v>
      </c>
      <c r="C99" s="8">
        <v>135036</v>
      </c>
      <c r="D99" s="8">
        <v>9523.59</v>
      </c>
      <c r="E99" s="9">
        <v>7.0526304096685297E-2</v>
      </c>
      <c r="F99" s="10" t="s">
        <v>17</v>
      </c>
      <c r="G99" s="10" t="s">
        <v>17</v>
      </c>
    </row>
    <row r="100" spans="1:7" x14ac:dyDescent="0.25">
      <c r="A100" s="6" t="s">
        <v>116</v>
      </c>
      <c r="B100" s="7" t="s">
        <v>242</v>
      </c>
      <c r="C100" s="8">
        <v>132718.32999999999</v>
      </c>
      <c r="D100" s="8">
        <v>48176.18</v>
      </c>
      <c r="E100" s="9">
        <v>0.36299567663336302</v>
      </c>
      <c r="F100" s="10" t="s">
        <v>17</v>
      </c>
      <c r="G100" s="10" t="s">
        <v>17</v>
      </c>
    </row>
    <row r="101" spans="1:7" x14ac:dyDescent="0.25">
      <c r="A101" s="6" t="s">
        <v>117</v>
      </c>
      <c r="B101" s="7" t="s">
        <v>245</v>
      </c>
      <c r="C101" s="8">
        <v>127602.23</v>
      </c>
      <c r="D101" s="8">
        <v>8442.65</v>
      </c>
      <c r="E101" s="9">
        <v>6.6163812340897202E-2</v>
      </c>
      <c r="F101" s="10" t="s">
        <v>17</v>
      </c>
      <c r="G101" s="10" t="s">
        <v>17</v>
      </c>
    </row>
    <row r="102" spans="1:7" x14ac:dyDescent="0.25">
      <c r="A102" s="6" t="s">
        <v>118</v>
      </c>
      <c r="B102" s="7" t="s">
        <v>247</v>
      </c>
      <c r="C102" s="8">
        <v>126275.49</v>
      </c>
      <c r="D102" s="8">
        <v>20512.46</v>
      </c>
      <c r="E102" s="9">
        <v>0.162442133465489</v>
      </c>
      <c r="F102" s="10" t="s">
        <v>17</v>
      </c>
      <c r="G102" s="10" t="s">
        <v>17</v>
      </c>
    </row>
    <row r="103" spans="1:7" x14ac:dyDescent="0.25">
      <c r="A103" s="6" t="s">
        <v>119</v>
      </c>
      <c r="B103" s="7" t="s">
        <v>306</v>
      </c>
      <c r="C103" s="8">
        <v>125381.34</v>
      </c>
      <c r="D103" s="8">
        <v>12099.64</v>
      </c>
      <c r="E103" s="9">
        <v>9.6502717230490601E-2</v>
      </c>
      <c r="F103" s="10" t="s">
        <v>17</v>
      </c>
      <c r="G103" s="10" t="s">
        <v>17</v>
      </c>
    </row>
    <row r="104" spans="1:7" x14ac:dyDescent="0.25">
      <c r="A104" s="6" t="s">
        <v>120</v>
      </c>
      <c r="B104" s="7" t="s">
        <v>248</v>
      </c>
      <c r="C104" s="8">
        <v>112472.19</v>
      </c>
      <c r="D104" s="8">
        <v>4190.75</v>
      </c>
      <c r="E104" s="9">
        <v>3.7260321862675597E-2</v>
      </c>
      <c r="F104" s="10" t="s">
        <v>17</v>
      </c>
      <c r="G104" s="10" t="s">
        <v>17</v>
      </c>
    </row>
    <row r="105" spans="1:7" x14ac:dyDescent="0.25">
      <c r="A105" s="6" t="s">
        <v>121</v>
      </c>
      <c r="B105" s="7" t="s">
        <v>295</v>
      </c>
      <c r="C105" s="8">
        <v>110388.5</v>
      </c>
      <c r="D105" s="8">
        <v>12125.86</v>
      </c>
      <c r="E105" s="9">
        <v>0.109847130815257</v>
      </c>
      <c r="F105" s="10" t="s">
        <v>17</v>
      </c>
      <c r="G105" s="10" t="s">
        <v>17</v>
      </c>
    </row>
    <row r="106" spans="1:7" x14ac:dyDescent="0.25">
      <c r="A106" s="6" t="s">
        <v>122</v>
      </c>
      <c r="B106" s="7" t="s">
        <v>249</v>
      </c>
      <c r="C106" s="8">
        <v>101318.76</v>
      </c>
      <c r="D106" s="8">
        <v>13387.25</v>
      </c>
      <c r="E106" s="9">
        <v>0.13213002212028699</v>
      </c>
      <c r="F106" s="10" t="s">
        <v>17</v>
      </c>
      <c r="G106" s="10" t="s">
        <v>17</v>
      </c>
    </row>
    <row r="107" spans="1:7" x14ac:dyDescent="0.25">
      <c r="A107" s="6" t="s">
        <v>123</v>
      </c>
      <c r="B107" s="7" t="s">
        <v>309</v>
      </c>
      <c r="C107" s="8">
        <v>96706.39</v>
      </c>
      <c r="D107" s="8">
        <v>12430.28</v>
      </c>
      <c r="E107" s="9">
        <v>0.128536283900164</v>
      </c>
      <c r="F107" s="10" t="s">
        <v>17</v>
      </c>
      <c r="G107" s="10" t="s">
        <v>17</v>
      </c>
    </row>
    <row r="108" spans="1:7" x14ac:dyDescent="0.25">
      <c r="A108" s="6" t="s">
        <v>124</v>
      </c>
      <c r="B108" s="7" t="s">
        <v>317</v>
      </c>
      <c r="C108" s="8">
        <v>89235.01</v>
      </c>
      <c r="D108" s="8">
        <v>596.53</v>
      </c>
      <c r="E108" s="9">
        <v>6.6849322928299098E-3</v>
      </c>
      <c r="F108" s="10" t="s">
        <v>17</v>
      </c>
      <c r="G108" s="10" t="s">
        <v>17</v>
      </c>
    </row>
    <row r="109" spans="1:7" x14ac:dyDescent="0.25">
      <c r="A109" s="6" t="s">
        <v>125</v>
      </c>
      <c r="B109" s="7" t="s">
        <v>253</v>
      </c>
      <c r="C109" s="8">
        <v>83027.09</v>
      </c>
      <c r="D109" s="8">
        <v>6066.44</v>
      </c>
      <c r="E109" s="9">
        <v>7.3065790936428093E-2</v>
      </c>
      <c r="F109" s="10" t="s">
        <v>17</v>
      </c>
      <c r="G109" s="10" t="s">
        <v>17</v>
      </c>
    </row>
    <row r="110" spans="1:7" x14ac:dyDescent="0.25">
      <c r="A110" s="6" t="s">
        <v>126</v>
      </c>
      <c r="B110" s="7" t="s">
        <v>230</v>
      </c>
      <c r="C110" s="8">
        <v>73299.38</v>
      </c>
      <c r="D110" s="8">
        <v>8533.36</v>
      </c>
      <c r="E110" s="9">
        <v>0.116417901488389</v>
      </c>
      <c r="F110" s="10" t="s">
        <v>17</v>
      </c>
      <c r="G110" s="10" t="s">
        <v>17</v>
      </c>
    </row>
    <row r="111" spans="1:7" x14ac:dyDescent="0.25">
      <c r="A111" s="6" t="s">
        <v>127</v>
      </c>
      <c r="B111" s="7" t="s">
        <v>256</v>
      </c>
      <c r="C111" s="8">
        <v>71516.62</v>
      </c>
      <c r="D111" s="8">
        <v>4746.34</v>
      </c>
      <c r="E111" s="9">
        <v>6.6366950787103807E-2</v>
      </c>
      <c r="F111" s="10" t="s">
        <v>17</v>
      </c>
      <c r="G111" s="10" t="s">
        <v>17</v>
      </c>
    </row>
    <row r="112" spans="1:7" x14ac:dyDescent="0.25">
      <c r="A112" s="6" t="s">
        <v>128</v>
      </c>
      <c r="B112" s="7" t="s">
        <v>255</v>
      </c>
      <c r="C112" s="8">
        <v>71276.210000000006</v>
      </c>
      <c r="D112" s="8">
        <v>522.25</v>
      </c>
      <c r="E112" s="9">
        <v>7.3271292062246302E-3</v>
      </c>
      <c r="F112" s="10" t="s">
        <v>17</v>
      </c>
      <c r="G112" s="10" t="s">
        <v>17</v>
      </c>
    </row>
    <row r="113" spans="1:7" x14ac:dyDescent="0.25">
      <c r="A113" s="6" t="s">
        <v>129</v>
      </c>
      <c r="B113" s="7" t="s">
        <v>321</v>
      </c>
      <c r="C113" s="8">
        <v>71163.009999999995</v>
      </c>
      <c r="D113" s="8">
        <v>42678.47</v>
      </c>
      <c r="E113" s="9">
        <v>0.59972828580466198</v>
      </c>
      <c r="F113" s="10" t="s">
        <v>17</v>
      </c>
      <c r="G113" s="10" t="s">
        <v>17</v>
      </c>
    </row>
    <row r="114" spans="1:7" x14ac:dyDescent="0.25">
      <c r="A114" s="6" t="s">
        <v>130</v>
      </c>
      <c r="B114" s="7" t="s">
        <v>258</v>
      </c>
      <c r="C114" s="8">
        <v>66248.62</v>
      </c>
      <c r="D114" s="8">
        <v>4350.59</v>
      </c>
      <c r="E114" s="9">
        <v>6.5670650950917897E-2</v>
      </c>
      <c r="F114" s="10" t="s">
        <v>17</v>
      </c>
      <c r="G114" s="10" t="s">
        <v>17</v>
      </c>
    </row>
    <row r="115" spans="1:7" x14ac:dyDescent="0.25">
      <c r="A115" s="6" t="s">
        <v>131</v>
      </c>
      <c r="B115" s="7" t="s">
        <v>257</v>
      </c>
      <c r="C115" s="8">
        <v>55576.32</v>
      </c>
      <c r="D115" s="8">
        <v>1632.8</v>
      </c>
      <c r="E115" s="9">
        <v>2.9379419148299099E-2</v>
      </c>
      <c r="F115" s="10" t="s">
        <v>17</v>
      </c>
      <c r="G115" s="10" t="s">
        <v>17</v>
      </c>
    </row>
    <row r="116" spans="1:7" x14ac:dyDescent="0.25">
      <c r="A116" s="6" t="s">
        <v>132</v>
      </c>
      <c r="B116" s="7" t="s">
        <v>259</v>
      </c>
      <c r="C116" s="8">
        <v>53463.29</v>
      </c>
      <c r="D116" s="8">
        <v>3779.41</v>
      </c>
      <c r="E116" s="9">
        <v>7.0691683957347207E-2</v>
      </c>
      <c r="F116" s="10" t="s">
        <v>17</v>
      </c>
      <c r="G116" s="10" t="s">
        <v>17</v>
      </c>
    </row>
    <row r="117" spans="1:7" x14ac:dyDescent="0.25">
      <c r="A117" s="6" t="s">
        <v>133</v>
      </c>
      <c r="B117" s="7" t="s">
        <v>262</v>
      </c>
      <c r="C117" s="8">
        <v>50477.83</v>
      </c>
      <c r="D117" s="8">
        <v>6356.93</v>
      </c>
      <c r="E117" s="9">
        <v>0.12593508873103301</v>
      </c>
      <c r="F117" s="10" t="s">
        <v>17</v>
      </c>
      <c r="G117" s="10" t="s">
        <v>17</v>
      </c>
    </row>
    <row r="118" spans="1:7" x14ac:dyDescent="0.25">
      <c r="A118" s="6" t="s">
        <v>134</v>
      </c>
      <c r="B118" s="7" t="s">
        <v>291</v>
      </c>
      <c r="C118" s="8">
        <v>48940.06</v>
      </c>
      <c r="D118" s="8">
        <v>7051.89</v>
      </c>
      <c r="E118" s="9">
        <v>0.14409238566523999</v>
      </c>
      <c r="F118" s="10" t="s">
        <v>17</v>
      </c>
      <c r="G118" s="10" t="s">
        <v>17</v>
      </c>
    </row>
    <row r="119" spans="1:7" x14ac:dyDescent="0.25">
      <c r="A119" s="6" t="s">
        <v>135</v>
      </c>
      <c r="B119" s="7" t="s">
        <v>260</v>
      </c>
      <c r="C119" s="8">
        <v>41384.6</v>
      </c>
      <c r="D119" s="8">
        <v>374.28</v>
      </c>
      <c r="E119" s="9">
        <v>9.0439438825070193E-3</v>
      </c>
      <c r="F119" s="10" t="s">
        <v>17</v>
      </c>
      <c r="G119" s="10" t="s">
        <v>17</v>
      </c>
    </row>
    <row r="120" spans="1:7" x14ac:dyDescent="0.25">
      <c r="A120" s="6" t="s">
        <v>136</v>
      </c>
      <c r="B120" s="7" t="s">
        <v>283</v>
      </c>
      <c r="C120" s="8">
        <v>40881.47</v>
      </c>
      <c r="D120" s="8">
        <v>509.96</v>
      </c>
      <c r="E120" s="9">
        <v>1.24741111315224E-2</v>
      </c>
      <c r="F120" s="10" t="s">
        <v>17</v>
      </c>
      <c r="G120" s="10" t="s">
        <v>17</v>
      </c>
    </row>
    <row r="121" spans="1:7" x14ac:dyDescent="0.25">
      <c r="A121" s="6" t="s">
        <v>137</v>
      </c>
      <c r="B121" s="7" t="s">
        <v>310</v>
      </c>
      <c r="C121" s="8">
        <v>40176.660000000003</v>
      </c>
      <c r="D121" s="8">
        <v>8076.46</v>
      </c>
      <c r="E121" s="9">
        <v>0.20102367892204101</v>
      </c>
      <c r="F121" s="10" t="s">
        <v>17</v>
      </c>
      <c r="G121" s="10" t="s">
        <v>17</v>
      </c>
    </row>
    <row r="122" spans="1:7" x14ac:dyDescent="0.25">
      <c r="A122" s="6" t="s">
        <v>138</v>
      </c>
      <c r="B122" s="7" t="s">
        <v>263</v>
      </c>
      <c r="C122" s="8">
        <v>36962.43</v>
      </c>
      <c r="D122" s="8">
        <v>1037.97</v>
      </c>
      <c r="E122" s="9">
        <v>2.80817576117155E-2</v>
      </c>
      <c r="F122" s="10" t="s">
        <v>17</v>
      </c>
      <c r="G122" s="10" t="s">
        <v>17</v>
      </c>
    </row>
    <row r="123" spans="1:7" x14ac:dyDescent="0.25">
      <c r="A123" s="6" t="s">
        <v>139</v>
      </c>
      <c r="B123" s="7" t="s">
        <v>251</v>
      </c>
      <c r="C123" s="8">
        <v>35840.050000000003</v>
      </c>
      <c r="D123" s="8">
        <v>1965.27</v>
      </c>
      <c r="E123" s="9">
        <v>5.4834465911738399E-2</v>
      </c>
      <c r="F123" s="10" t="s">
        <v>17</v>
      </c>
      <c r="G123" s="10" t="s">
        <v>17</v>
      </c>
    </row>
    <row r="124" spans="1:7" x14ac:dyDescent="0.25">
      <c r="A124" s="6" t="s">
        <v>140</v>
      </c>
      <c r="B124" s="7" t="s">
        <v>266</v>
      </c>
      <c r="C124" s="8">
        <v>34273.06</v>
      </c>
      <c r="D124" s="8">
        <v>11665.78</v>
      </c>
      <c r="E124" s="9">
        <v>0.34037754434532502</v>
      </c>
      <c r="F124" s="10" t="s">
        <v>17</v>
      </c>
      <c r="G124" s="10" t="s">
        <v>17</v>
      </c>
    </row>
    <row r="125" spans="1:7" x14ac:dyDescent="0.25">
      <c r="A125" s="6" t="s">
        <v>141</v>
      </c>
      <c r="B125" s="7" t="s">
        <v>265</v>
      </c>
      <c r="C125" s="8">
        <v>31498.97</v>
      </c>
      <c r="D125" s="8">
        <v>4953.16</v>
      </c>
      <c r="E125" s="9">
        <v>0.15724831637351999</v>
      </c>
      <c r="F125" s="10" t="s">
        <v>17</v>
      </c>
      <c r="G125" s="10" t="s">
        <v>17</v>
      </c>
    </row>
    <row r="126" spans="1:7" x14ac:dyDescent="0.25">
      <c r="A126" s="6" t="s">
        <v>142</v>
      </c>
      <c r="B126" s="7" t="s">
        <v>264</v>
      </c>
      <c r="C126" s="8">
        <v>30580.98</v>
      </c>
      <c r="D126" s="8">
        <v>1334.88</v>
      </c>
      <c r="E126" s="9">
        <v>4.36506612933922E-2</v>
      </c>
      <c r="F126" s="10" t="s">
        <v>17</v>
      </c>
      <c r="G126" s="10" t="s">
        <v>17</v>
      </c>
    </row>
    <row r="127" spans="1:7" x14ac:dyDescent="0.25">
      <c r="A127" s="6" t="s">
        <v>143</v>
      </c>
      <c r="B127" s="7" t="s">
        <v>311</v>
      </c>
      <c r="C127" s="8">
        <v>27912.04</v>
      </c>
      <c r="D127" s="8">
        <v>2404.2800000000002</v>
      </c>
      <c r="E127" s="9">
        <v>8.6137738409661199E-2</v>
      </c>
      <c r="F127" s="10" t="s">
        <v>17</v>
      </c>
      <c r="G127" s="10" t="s">
        <v>17</v>
      </c>
    </row>
    <row r="128" spans="1:7" x14ac:dyDescent="0.25">
      <c r="A128" s="6" t="s">
        <v>144</v>
      </c>
      <c r="B128" s="7" t="s">
        <v>267</v>
      </c>
      <c r="C128" s="8">
        <v>17261.89</v>
      </c>
      <c r="D128" s="8">
        <v>1257.6300000000001</v>
      </c>
      <c r="E128" s="9">
        <v>7.2855869200881301E-2</v>
      </c>
      <c r="F128" s="10" t="s">
        <v>17</v>
      </c>
      <c r="G128" s="10" t="s">
        <v>17</v>
      </c>
    </row>
    <row r="129" spans="1:7" x14ac:dyDescent="0.25">
      <c r="A129" s="6" t="s">
        <v>145</v>
      </c>
      <c r="B129" s="7" t="s">
        <v>268</v>
      </c>
      <c r="C129" s="8">
        <v>17218.23</v>
      </c>
      <c r="D129" s="8">
        <v>889.39</v>
      </c>
      <c r="E129" s="9">
        <v>5.1653973724360799E-2</v>
      </c>
      <c r="F129" s="10" t="s">
        <v>17</v>
      </c>
      <c r="G129" s="10" t="s">
        <v>17</v>
      </c>
    </row>
    <row r="130" spans="1:7" x14ac:dyDescent="0.25">
      <c r="A130" s="6" t="s">
        <v>146</v>
      </c>
      <c r="B130" s="7" t="s">
        <v>269</v>
      </c>
      <c r="C130" s="8">
        <v>14653.16</v>
      </c>
      <c r="D130" s="8">
        <v>1507.12</v>
      </c>
      <c r="E130" s="9">
        <v>0.10285289998880801</v>
      </c>
      <c r="F130" s="10" t="s">
        <v>17</v>
      </c>
      <c r="G130" s="10" t="s">
        <v>17</v>
      </c>
    </row>
    <row r="131" spans="1:7" x14ac:dyDescent="0.25">
      <c r="A131" s="6" t="s">
        <v>147</v>
      </c>
      <c r="B131" s="7" t="s">
        <v>270</v>
      </c>
      <c r="C131" s="8">
        <v>14454.54</v>
      </c>
      <c r="D131" s="8">
        <v>109.4</v>
      </c>
      <c r="E131" s="9">
        <v>7.5685563151784803E-3</v>
      </c>
      <c r="F131" s="10" t="s">
        <v>17</v>
      </c>
      <c r="G131" s="10" t="s">
        <v>17</v>
      </c>
    </row>
    <row r="132" spans="1:7" x14ac:dyDescent="0.25">
      <c r="A132" s="6" t="s">
        <v>148</v>
      </c>
      <c r="B132" s="7" t="s">
        <v>277</v>
      </c>
      <c r="C132" s="8">
        <v>13580.89</v>
      </c>
      <c r="D132" s="8">
        <v>789.63</v>
      </c>
      <c r="E132" s="9">
        <v>5.81427284957024E-2</v>
      </c>
      <c r="F132" s="10" t="s">
        <v>17</v>
      </c>
      <c r="G132" s="10" t="s">
        <v>17</v>
      </c>
    </row>
    <row r="133" spans="1:7" x14ac:dyDescent="0.25">
      <c r="A133" s="6" t="s">
        <v>149</v>
      </c>
      <c r="B133" s="7" t="s">
        <v>286</v>
      </c>
      <c r="C133" s="8">
        <v>7748.32</v>
      </c>
      <c r="D133" s="8">
        <v>81.739999999999995</v>
      </c>
      <c r="E133" s="9">
        <v>1.0549383608317701E-2</v>
      </c>
      <c r="F133" s="10" t="s">
        <v>17</v>
      </c>
      <c r="G133" s="10" t="s">
        <v>17</v>
      </c>
    </row>
    <row r="134" spans="1:7" x14ac:dyDescent="0.25">
      <c r="A134" s="6" t="s">
        <v>150</v>
      </c>
      <c r="B134" s="7" t="s">
        <v>322</v>
      </c>
      <c r="C134" s="8">
        <v>3763.93</v>
      </c>
      <c r="D134" s="8">
        <v>37.25</v>
      </c>
      <c r="E134" s="9">
        <v>9.89657087140303E-3</v>
      </c>
      <c r="F134" s="10" t="s">
        <v>17</v>
      </c>
      <c r="G134" s="10" t="s">
        <v>17</v>
      </c>
    </row>
    <row r="135" spans="1:7" x14ac:dyDescent="0.25">
      <c r="A135" s="6" t="s">
        <v>151</v>
      </c>
      <c r="B135" s="7" t="s">
        <v>312</v>
      </c>
      <c r="C135" s="8">
        <v>2464.61</v>
      </c>
      <c r="D135" s="8">
        <v>52.68</v>
      </c>
      <c r="E135" s="9">
        <v>2.1374578533723401E-2</v>
      </c>
      <c r="F135" s="10" t="s">
        <v>17</v>
      </c>
      <c r="G135" s="10" t="s">
        <v>17</v>
      </c>
    </row>
    <row r="136" spans="1:7" x14ac:dyDescent="0.25">
      <c r="A136" s="6" t="s">
        <v>152</v>
      </c>
      <c r="B136" s="7" t="s">
        <v>313</v>
      </c>
      <c r="C136" s="8">
        <v>1884.79</v>
      </c>
      <c r="D136" s="8">
        <v>282.60000000000002</v>
      </c>
      <c r="E136" s="9">
        <v>0.149937128274237</v>
      </c>
      <c r="F136" s="10" t="s">
        <v>17</v>
      </c>
      <c r="G136" s="10" t="s">
        <v>17</v>
      </c>
    </row>
    <row r="137" spans="1:7" x14ac:dyDescent="0.25">
      <c r="A137" s="6" t="s">
        <v>153</v>
      </c>
      <c r="B137" s="7" t="s">
        <v>323</v>
      </c>
      <c r="C137" s="8">
        <v>1000.02</v>
      </c>
      <c r="D137" s="8">
        <v>1000.02</v>
      </c>
      <c r="E137" s="9">
        <v>1</v>
      </c>
      <c r="F137" s="10" t="s">
        <v>17</v>
      </c>
      <c r="G137" s="10" t="s">
        <v>17</v>
      </c>
    </row>
    <row r="138" spans="1:7" x14ac:dyDescent="0.25">
      <c r="A138" s="6" t="s">
        <v>154</v>
      </c>
      <c r="B138" s="7" t="s">
        <v>324</v>
      </c>
      <c r="C138" s="8">
        <v>497.82</v>
      </c>
      <c r="D138" s="8">
        <v>81.819999999999993</v>
      </c>
      <c r="E138" s="9">
        <v>0.164356594753124</v>
      </c>
      <c r="F138" s="10" t="s">
        <v>17</v>
      </c>
      <c r="G138" s="10" t="s">
        <v>17</v>
      </c>
    </row>
    <row r="139" spans="1:7" x14ac:dyDescent="0.25">
      <c r="A139" s="6" t="s">
        <v>155</v>
      </c>
      <c r="B139" s="7" t="s">
        <v>318</v>
      </c>
      <c r="C139" s="8">
        <v>299.95</v>
      </c>
      <c r="D139" s="8">
        <v>299.95</v>
      </c>
      <c r="E139" s="9">
        <v>1</v>
      </c>
      <c r="F139" s="10" t="s">
        <v>17</v>
      </c>
      <c r="G139" s="10" t="s">
        <v>17</v>
      </c>
    </row>
    <row r="140" spans="1:7" x14ac:dyDescent="0.25">
      <c r="A140" s="6" t="s">
        <v>156</v>
      </c>
      <c r="B140" s="7" t="s">
        <v>319</v>
      </c>
      <c r="C140" s="8">
        <v>0</v>
      </c>
      <c r="D140" s="8">
        <v>0</v>
      </c>
      <c r="E140" s="9">
        <v>0</v>
      </c>
      <c r="F140" s="10" t="s">
        <v>17</v>
      </c>
      <c r="G140" s="10" t="s">
        <v>17</v>
      </c>
    </row>
    <row r="141" spans="1:7" x14ac:dyDescent="0.25">
      <c r="C141" s="8"/>
      <c r="D141" s="8"/>
      <c r="E141" s="9"/>
    </row>
    <row r="142" spans="1:7" x14ac:dyDescent="0.25">
      <c r="C142" s="8"/>
      <c r="D142" s="8"/>
      <c r="E142" s="9"/>
    </row>
    <row r="143" spans="1:7" x14ac:dyDescent="0.25">
      <c r="C143" s="8"/>
      <c r="D143" s="8"/>
      <c r="E143" s="9"/>
    </row>
    <row r="144" spans="1:7" x14ac:dyDescent="0.25">
      <c r="C144" s="8"/>
      <c r="D144" s="8" t="s">
        <v>298</v>
      </c>
      <c r="E144" s="9"/>
    </row>
    <row r="145" spans="1:7" ht="31.5" x14ac:dyDescent="0.25">
      <c r="A145" s="18"/>
      <c r="B145" s="19" t="s">
        <v>157</v>
      </c>
      <c r="C145" s="3" t="s">
        <v>158</v>
      </c>
      <c r="D145" s="3" t="s">
        <v>159</v>
      </c>
      <c r="E145" s="4" t="s">
        <v>160</v>
      </c>
      <c r="F145" s="5" t="s">
        <v>161</v>
      </c>
      <c r="G145" s="5" t="s">
        <v>162</v>
      </c>
    </row>
    <row r="146" spans="1:7" x14ac:dyDescent="0.25">
      <c r="A146" s="6" t="s">
        <v>18</v>
      </c>
      <c r="B146" s="7" t="s">
        <v>315</v>
      </c>
      <c r="C146" s="8">
        <v>3000329.6</v>
      </c>
      <c r="D146" s="8">
        <v>3000329.6</v>
      </c>
      <c r="E146" s="9">
        <v>1</v>
      </c>
      <c r="F146" s="10" t="s">
        <v>17</v>
      </c>
      <c r="G146" s="10" t="s">
        <v>17</v>
      </c>
    </row>
    <row r="147" spans="1:7" x14ac:dyDescent="0.25">
      <c r="A147" s="6" t="s">
        <v>19</v>
      </c>
      <c r="B147" s="7" t="s">
        <v>183</v>
      </c>
      <c r="C147" s="8">
        <v>1271007.78</v>
      </c>
      <c r="D147" s="8">
        <v>202810.64</v>
      </c>
      <c r="E147" s="9">
        <v>0.159566796672165</v>
      </c>
      <c r="F147" s="10" t="s">
        <v>17</v>
      </c>
      <c r="G147" s="10" t="s">
        <v>17</v>
      </c>
    </row>
    <row r="148" spans="1:7" x14ac:dyDescent="0.25">
      <c r="A148" s="6" t="s">
        <v>20</v>
      </c>
      <c r="B148" s="7" t="s">
        <v>165</v>
      </c>
      <c r="C148" s="8">
        <v>1126862.7</v>
      </c>
      <c r="D148" s="8">
        <v>1117478.24</v>
      </c>
      <c r="E148" s="9">
        <v>0.991672046647742</v>
      </c>
      <c r="F148" s="10" t="s">
        <v>17</v>
      </c>
      <c r="G148" s="10" t="s">
        <v>17</v>
      </c>
    </row>
    <row r="149" spans="1:7" x14ac:dyDescent="0.25">
      <c r="A149" s="6" t="s">
        <v>21</v>
      </c>
      <c r="B149" s="7" t="s">
        <v>244</v>
      </c>
      <c r="C149" s="8">
        <v>970092.73</v>
      </c>
      <c r="D149" s="8">
        <v>751.15</v>
      </c>
      <c r="E149" s="9">
        <v>7.7430742110602105E-4</v>
      </c>
      <c r="F149" s="10" t="s">
        <v>17</v>
      </c>
      <c r="G149" s="10" t="s">
        <v>17</v>
      </c>
    </row>
    <row r="150" spans="1:7" x14ac:dyDescent="0.25">
      <c r="A150" s="6" t="s">
        <v>22</v>
      </c>
      <c r="B150" s="7" t="s">
        <v>278</v>
      </c>
      <c r="C150" s="8">
        <v>703543.84</v>
      </c>
      <c r="D150" s="8">
        <v>291853.13</v>
      </c>
      <c r="E150" s="9">
        <v>0.41483289797548401</v>
      </c>
      <c r="F150" s="10" t="s">
        <v>17</v>
      </c>
      <c r="G150" s="10" t="s">
        <v>17</v>
      </c>
    </row>
    <row r="151" spans="1:7" x14ac:dyDescent="0.25">
      <c r="A151" s="6" t="s">
        <v>23</v>
      </c>
      <c r="B151" s="7" t="s">
        <v>325</v>
      </c>
      <c r="C151" s="8">
        <v>589922</v>
      </c>
      <c r="D151" s="8">
        <v>589922</v>
      </c>
      <c r="E151" s="9">
        <v>1</v>
      </c>
      <c r="F151" s="10" t="s">
        <v>17</v>
      </c>
      <c r="G151" s="10" t="s">
        <v>17</v>
      </c>
    </row>
    <row r="152" spans="1:7" x14ac:dyDescent="0.25">
      <c r="A152" s="6" t="s">
        <v>24</v>
      </c>
      <c r="B152" s="7" t="s">
        <v>182</v>
      </c>
      <c r="C152" s="8">
        <v>516673.13</v>
      </c>
      <c r="D152" s="8">
        <v>516673.13</v>
      </c>
      <c r="E152" s="9">
        <v>1</v>
      </c>
      <c r="F152" s="10" t="s">
        <v>17</v>
      </c>
      <c r="G152" s="10" t="s">
        <v>17</v>
      </c>
    </row>
    <row r="153" spans="1:7" x14ac:dyDescent="0.25">
      <c r="A153" s="6" t="s">
        <v>25</v>
      </c>
      <c r="B153" s="7" t="s">
        <v>189</v>
      </c>
      <c r="C153" s="8">
        <v>293540.15999999997</v>
      </c>
      <c r="D153" s="8">
        <v>293540.15999999997</v>
      </c>
      <c r="E153" s="9">
        <v>1</v>
      </c>
      <c r="F153" s="10" t="s">
        <v>17</v>
      </c>
      <c r="G153" s="10" t="s">
        <v>17</v>
      </c>
    </row>
    <row r="154" spans="1:7" x14ac:dyDescent="0.25">
      <c r="A154" s="6" t="s">
        <v>26</v>
      </c>
      <c r="B154" s="7" t="s">
        <v>280</v>
      </c>
      <c r="C154" s="8">
        <v>223419.27</v>
      </c>
      <c r="D154" s="8">
        <v>887.73</v>
      </c>
      <c r="E154" s="9">
        <v>3.9733815261324603E-3</v>
      </c>
      <c r="F154" s="10" t="s">
        <v>17</v>
      </c>
      <c r="G154" s="10" t="s">
        <v>17</v>
      </c>
    </row>
    <row r="155" spans="1:7" x14ac:dyDescent="0.25">
      <c r="A155" s="6" t="s">
        <v>27</v>
      </c>
      <c r="B155" s="7" t="s">
        <v>173</v>
      </c>
      <c r="C155" s="8">
        <v>208281.24</v>
      </c>
      <c r="D155" s="8">
        <v>28541.66</v>
      </c>
      <c r="E155" s="9">
        <v>0.137034233135927</v>
      </c>
      <c r="F155" s="10" t="s">
        <v>17</v>
      </c>
      <c r="G155" s="10" t="s">
        <v>17</v>
      </c>
    </row>
    <row r="156" spans="1:7" x14ac:dyDescent="0.25">
      <c r="A156" s="6" t="s">
        <v>28</v>
      </c>
      <c r="B156" s="7" t="s">
        <v>205</v>
      </c>
      <c r="C156" s="8">
        <v>206175.35</v>
      </c>
      <c r="D156" s="8">
        <v>23301.82</v>
      </c>
      <c r="E156" s="9">
        <v>0.11301942739517599</v>
      </c>
      <c r="F156" s="10" t="s">
        <v>17</v>
      </c>
      <c r="G156" s="10" t="s">
        <v>17</v>
      </c>
    </row>
    <row r="157" spans="1:7" x14ac:dyDescent="0.25">
      <c r="A157" s="6" t="s">
        <v>29</v>
      </c>
      <c r="B157" s="7" t="s">
        <v>186</v>
      </c>
      <c r="C157" s="8">
        <v>202257.15</v>
      </c>
      <c r="D157" s="8">
        <v>202257.15</v>
      </c>
      <c r="E157" s="9">
        <v>1</v>
      </c>
      <c r="F157" s="10" t="s">
        <v>17</v>
      </c>
      <c r="G157" s="10" t="s">
        <v>17</v>
      </c>
    </row>
    <row r="158" spans="1:7" x14ac:dyDescent="0.25">
      <c r="A158" s="6" t="s">
        <v>30</v>
      </c>
      <c r="B158" s="7" t="s">
        <v>224</v>
      </c>
      <c r="C158" s="8">
        <v>201401.3</v>
      </c>
      <c r="D158" s="8">
        <v>201401.3</v>
      </c>
      <c r="E158" s="9">
        <v>1</v>
      </c>
      <c r="F158" s="10" t="s">
        <v>17</v>
      </c>
      <c r="G158" s="10" t="s">
        <v>17</v>
      </c>
    </row>
    <row r="159" spans="1:7" x14ac:dyDescent="0.25">
      <c r="A159" s="6" t="s">
        <v>31</v>
      </c>
      <c r="B159" s="7" t="s">
        <v>195</v>
      </c>
      <c r="C159" s="8">
        <v>175875.16</v>
      </c>
      <c r="D159" s="8">
        <v>75860.490000000005</v>
      </c>
      <c r="E159" s="9">
        <v>0.43133146261245803</v>
      </c>
      <c r="F159" s="10" t="s">
        <v>17</v>
      </c>
      <c r="G159" s="10" t="s">
        <v>17</v>
      </c>
    </row>
    <row r="160" spans="1:7" x14ac:dyDescent="0.25">
      <c r="A160" s="6" t="s">
        <v>32</v>
      </c>
      <c r="B160" s="7" t="s">
        <v>180</v>
      </c>
      <c r="C160" s="8">
        <v>157396.34</v>
      </c>
      <c r="D160" s="8">
        <v>1251.25</v>
      </c>
      <c r="E160" s="9">
        <v>7.9496765934963902E-3</v>
      </c>
      <c r="F160" s="10" t="s">
        <v>17</v>
      </c>
      <c r="G160" s="10" t="s">
        <v>17</v>
      </c>
    </row>
    <row r="161" spans="1:7" x14ac:dyDescent="0.25">
      <c r="A161" s="6" t="s">
        <v>33</v>
      </c>
      <c r="B161" s="7" t="s">
        <v>163</v>
      </c>
      <c r="C161" s="8">
        <v>150130.85</v>
      </c>
      <c r="D161" s="8">
        <v>50.14</v>
      </c>
      <c r="E161" s="9">
        <v>3.3397532885479601E-4</v>
      </c>
      <c r="F161" s="10" t="s">
        <v>17</v>
      </c>
      <c r="G161" s="10" t="s">
        <v>17</v>
      </c>
    </row>
    <row r="162" spans="1:7" x14ac:dyDescent="0.25">
      <c r="A162" s="6" t="s">
        <v>34</v>
      </c>
      <c r="B162" s="7" t="s">
        <v>211</v>
      </c>
      <c r="C162" s="8">
        <v>143637.28</v>
      </c>
      <c r="D162" s="8">
        <v>12166.11</v>
      </c>
      <c r="E162" s="9">
        <v>8.4700225456789499E-2</v>
      </c>
      <c r="F162" s="10" t="s">
        <v>17</v>
      </c>
      <c r="G162" s="10" t="s">
        <v>17</v>
      </c>
    </row>
    <row r="163" spans="1:7" x14ac:dyDescent="0.25">
      <c r="A163" s="6" t="s">
        <v>35</v>
      </c>
      <c r="B163" s="7" t="s">
        <v>254</v>
      </c>
      <c r="C163" s="8">
        <v>138542.9</v>
      </c>
      <c r="D163" s="8">
        <v>15448.8</v>
      </c>
      <c r="E163" s="9">
        <v>0.111509142655452</v>
      </c>
      <c r="F163" s="10" t="s">
        <v>17</v>
      </c>
      <c r="G163" s="10" t="s">
        <v>17</v>
      </c>
    </row>
    <row r="164" spans="1:7" x14ac:dyDescent="0.25">
      <c r="A164" s="6" t="s">
        <v>36</v>
      </c>
      <c r="B164" s="7" t="s">
        <v>279</v>
      </c>
      <c r="C164" s="8">
        <v>134908.72</v>
      </c>
      <c r="D164" s="8">
        <v>134908.72</v>
      </c>
      <c r="E164" s="9">
        <v>1</v>
      </c>
      <c r="F164" s="10" t="s">
        <v>17</v>
      </c>
      <c r="G164" s="10" t="s">
        <v>17</v>
      </c>
    </row>
    <row r="165" spans="1:7" x14ac:dyDescent="0.25">
      <c r="A165" s="6" t="s">
        <v>37</v>
      </c>
      <c r="B165" s="7" t="s">
        <v>187</v>
      </c>
      <c r="C165" s="8">
        <v>131167.23000000001</v>
      </c>
      <c r="D165" s="8">
        <v>131167.23000000001</v>
      </c>
      <c r="E165" s="9">
        <v>1</v>
      </c>
      <c r="F165" s="10" t="s">
        <v>17</v>
      </c>
      <c r="G165" s="10" t="s">
        <v>17</v>
      </c>
    </row>
    <row r="166" spans="1:7" x14ac:dyDescent="0.25">
      <c r="A166" s="6" t="s">
        <v>38</v>
      </c>
      <c r="B166" s="7" t="s">
        <v>303</v>
      </c>
      <c r="C166" s="8">
        <v>121006.87</v>
      </c>
      <c r="D166" s="8">
        <v>121006.87</v>
      </c>
      <c r="E166" s="9">
        <v>1</v>
      </c>
      <c r="F166" s="10" t="s">
        <v>17</v>
      </c>
      <c r="G166" s="10" t="s">
        <v>17</v>
      </c>
    </row>
    <row r="167" spans="1:7" x14ac:dyDescent="0.25">
      <c r="A167" s="6" t="s">
        <v>39</v>
      </c>
      <c r="B167" s="7" t="s">
        <v>215</v>
      </c>
      <c r="C167" s="8">
        <v>119511.72</v>
      </c>
      <c r="D167" s="8">
        <v>935.69</v>
      </c>
      <c r="E167" s="9">
        <v>7.8292739825014702E-3</v>
      </c>
      <c r="F167" s="10" t="s">
        <v>17</v>
      </c>
      <c r="G167" s="10" t="s">
        <v>17</v>
      </c>
    </row>
    <row r="168" spans="1:7" x14ac:dyDescent="0.25">
      <c r="A168" s="6" t="s">
        <v>40</v>
      </c>
      <c r="B168" s="7" t="s">
        <v>308</v>
      </c>
      <c r="C168" s="8">
        <v>99756.768500000006</v>
      </c>
      <c r="D168" s="8">
        <v>2017.19</v>
      </c>
      <c r="E168" s="9">
        <v>2.02210840460414E-2</v>
      </c>
      <c r="F168" s="10" t="s">
        <v>17</v>
      </c>
      <c r="G168" s="10" t="s">
        <v>17</v>
      </c>
    </row>
    <row r="169" spans="1:7" x14ac:dyDescent="0.25">
      <c r="A169" s="6" t="s">
        <v>41</v>
      </c>
      <c r="B169" s="7" t="s">
        <v>294</v>
      </c>
      <c r="C169" s="8">
        <v>83528.42</v>
      </c>
      <c r="D169" s="8">
        <v>46097.65</v>
      </c>
      <c r="E169" s="9">
        <v>0.55187982724921603</v>
      </c>
      <c r="F169" s="10" t="s">
        <v>17</v>
      </c>
      <c r="G169" s="10" t="s">
        <v>17</v>
      </c>
    </row>
    <row r="170" spans="1:7" x14ac:dyDescent="0.25">
      <c r="A170" s="6" t="s">
        <v>42</v>
      </c>
      <c r="B170" s="7" t="s">
        <v>184</v>
      </c>
      <c r="C170" s="8">
        <v>80131.839999999997</v>
      </c>
      <c r="D170" s="8">
        <v>80131.839999999997</v>
      </c>
      <c r="E170" s="9">
        <v>1</v>
      </c>
      <c r="F170" s="10" t="s">
        <v>17</v>
      </c>
      <c r="G170" s="10" t="s">
        <v>17</v>
      </c>
    </row>
    <row r="171" spans="1:7" x14ac:dyDescent="0.25">
      <c r="A171" s="6" t="s">
        <v>43</v>
      </c>
      <c r="B171" s="7" t="s">
        <v>280</v>
      </c>
      <c r="C171" s="8">
        <v>76967.429999999993</v>
      </c>
      <c r="D171" s="8">
        <v>1165.73</v>
      </c>
      <c r="E171" s="9">
        <v>1.5145757107909099E-2</v>
      </c>
      <c r="F171" s="10" t="s">
        <v>17</v>
      </c>
      <c r="G171" s="10" t="s">
        <v>17</v>
      </c>
    </row>
    <row r="172" spans="1:7" x14ac:dyDescent="0.25">
      <c r="A172" s="6" t="s">
        <v>44</v>
      </c>
      <c r="B172" s="7" t="s">
        <v>284</v>
      </c>
      <c r="C172" s="8">
        <v>58426</v>
      </c>
      <c r="D172" s="8">
        <v>11313.96</v>
      </c>
      <c r="E172" s="9">
        <v>0.19364597952966101</v>
      </c>
      <c r="F172" s="10" t="s">
        <v>17</v>
      </c>
      <c r="G172" s="10" t="s">
        <v>17</v>
      </c>
    </row>
    <row r="173" spans="1:7" x14ac:dyDescent="0.25">
      <c r="A173" s="6" t="s">
        <v>45</v>
      </c>
      <c r="B173" s="7" t="s">
        <v>175</v>
      </c>
      <c r="C173" s="8">
        <v>57342.77</v>
      </c>
      <c r="D173" s="8">
        <v>57342.77</v>
      </c>
      <c r="E173" s="9">
        <v>1</v>
      </c>
      <c r="F173" s="10" t="s">
        <v>17</v>
      </c>
      <c r="G173" s="10" t="s">
        <v>17</v>
      </c>
    </row>
    <row r="174" spans="1:7" x14ac:dyDescent="0.25">
      <c r="A174" s="6" t="s">
        <v>46</v>
      </c>
      <c r="B174" s="7" t="s">
        <v>227</v>
      </c>
      <c r="C174" s="8">
        <v>50059.42</v>
      </c>
      <c r="D174" s="8">
        <v>50059.42</v>
      </c>
      <c r="E174" s="9">
        <v>1</v>
      </c>
      <c r="F174" s="10" t="s">
        <v>17</v>
      </c>
      <c r="G174" s="10" t="s">
        <v>17</v>
      </c>
    </row>
    <row r="175" spans="1:7" x14ac:dyDescent="0.25">
      <c r="A175" s="6" t="s">
        <v>47</v>
      </c>
      <c r="B175" s="7" t="s">
        <v>248</v>
      </c>
      <c r="C175" s="8">
        <v>37314.75</v>
      </c>
      <c r="D175" s="8">
        <v>37314.75</v>
      </c>
      <c r="E175" s="9">
        <v>1</v>
      </c>
      <c r="F175" s="10" t="s">
        <v>17</v>
      </c>
      <c r="G175" s="10" t="s">
        <v>17</v>
      </c>
    </row>
    <row r="176" spans="1:7" x14ac:dyDescent="0.25">
      <c r="A176" s="6" t="s">
        <v>48</v>
      </c>
      <c r="B176" s="7" t="s">
        <v>261</v>
      </c>
      <c r="C176" s="8">
        <v>35352.410000000003</v>
      </c>
      <c r="D176" s="8">
        <v>9833.81</v>
      </c>
      <c r="E176" s="9">
        <v>0.27816519439551601</v>
      </c>
      <c r="F176" s="10" t="s">
        <v>17</v>
      </c>
      <c r="G176" s="10" t="s">
        <v>17</v>
      </c>
    </row>
    <row r="177" spans="1:7" x14ac:dyDescent="0.25">
      <c r="A177" s="6" t="s">
        <v>49</v>
      </c>
      <c r="B177" s="7" t="s">
        <v>190</v>
      </c>
      <c r="C177" s="8">
        <v>33618.79</v>
      </c>
      <c r="D177" s="8">
        <v>33618.79</v>
      </c>
      <c r="E177" s="9">
        <v>1</v>
      </c>
      <c r="F177" s="10" t="s">
        <v>17</v>
      </c>
      <c r="G177" s="10" t="s">
        <v>17</v>
      </c>
    </row>
    <row r="178" spans="1:7" x14ac:dyDescent="0.25">
      <c r="A178" s="6" t="s">
        <v>50</v>
      </c>
      <c r="B178" s="7" t="s">
        <v>220</v>
      </c>
      <c r="C178" s="8">
        <v>20872.25</v>
      </c>
      <c r="D178" s="8">
        <v>20872.25</v>
      </c>
      <c r="E178" s="9">
        <v>1</v>
      </c>
      <c r="F178" s="10" t="s">
        <v>17</v>
      </c>
      <c r="G178" s="10" t="s">
        <v>17</v>
      </c>
    </row>
    <row r="179" spans="1:7" x14ac:dyDescent="0.25">
      <c r="A179" s="6" t="s">
        <v>51</v>
      </c>
      <c r="B179" s="7" t="s">
        <v>285</v>
      </c>
      <c r="C179" s="8">
        <v>20002.439999999999</v>
      </c>
      <c r="D179" s="8">
        <v>20002.439999999999</v>
      </c>
      <c r="E179" s="9">
        <v>1</v>
      </c>
      <c r="F179" s="10" t="s">
        <v>17</v>
      </c>
      <c r="G179" s="10" t="s">
        <v>17</v>
      </c>
    </row>
    <row r="180" spans="1:7" x14ac:dyDescent="0.25">
      <c r="A180" s="6" t="s">
        <v>52</v>
      </c>
      <c r="B180" s="7" t="s">
        <v>287</v>
      </c>
      <c r="C180" s="8">
        <v>11637.16</v>
      </c>
      <c r="D180" s="8">
        <v>285.43</v>
      </c>
      <c r="E180" s="9">
        <v>2.4527462026817499E-2</v>
      </c>
      <c r="F180" s="10" t="s">
        <v>17</v>
      </c>
      <c r="G180" s="10" t="s">
        <v>17</v>
      </c>
    </row>
    <row r="181" spans="1:7" x14ac:dyDescent="0.25">
      <c r="A181" s="6" t="s">
        <v>53</v>
      </c>
      <c r="B181" s="7" t="s">
        <v>238</v>
      </c>
      <c r="C181" s="8">
        <v>6133.32</v>
      </c>
      <c r="D181" s="8">
        <v>66.16</v>
      </c>
      <c r="E181" s="9">
        <v>1.0786979971695599E-2</v>
      </c>
      <c r="F181" s="10" t="s">
        <v>17</v>
      </c>
      <c r="G181" s="10" t="s">
        <v>17</v>
      </c>
    </row>
    <row r="182" spans="1:7" x14ac:dyDescent="0.25">
      <c r="A182" s="6" t="s">
        <v>54</v>
      </c>
      <c r="B182" s="7" t="s">
        <v>261</v>
      </c>
      <c r="C182" s="8">
        <v>5505.76</v>
      </c>
      <c r="D182" s="8">
        <v>5505.76</v>
      </c>
      <c r="E182" s="9">
        <v>1</v>
      </c>
      <c r="F182" s="10" t="s">
        <v>17</v>
      </c>
      <c r="G182" s="10" t="s">
        <v>17</v>
      </c>
    </row>
    <row r="183" spans="1:7" x14ac:dyDescent="0.25">
      <c r="A183" s="6" t="s">
        <v>55</v>
      </c>
      <c r="B183" s="7" t="s">
        <v>288</v>
      </c>
      <c r="C183" s="8">
        <v>4919.83</v>
      </c>
      <c r="D183" s="8">
        <v>948.17</v>
      </c>
      <c r="E183" s="9">
        <v>0.192724138842196</v>
      </c>
      <c r="F183" s="10" t="s">
        <v>17</v>
      </c>
      <c r="G183" s="10" t="s">
        <v>17</v>
      </c>
    </row>
    <row r="184" spans="1:7" x14ac:dyDescent="0.25">
      <c r="A184" s="6" t="s">
        <v>56</v>
      </c>
      <c r="B184" s="7" t="s">
        <v>230</v>
      </c>
      <c r="C184" s="8">
        <v>3500.01</v>
      </c>
      <c r="D184" s="8">
        <v>3500.01</v>
      </c>
      <c r="E184" s="9">
        <v>1</v>
      </c>
      <c r="F184" s="10" t="s">
        <v>17</v>
      </c>
      <c r="G184" s="10" t="s">
        <v>17</v>
      </c>
    </row>
    <row r="185" spans="1:7" x14ac:dyDescent="0.25">
      <c r="A185" s="6" t="s">
        <v>57</v>
      </c>
      <c r="B185" s="7" t="s">
        <v>326</v>
      </c>
      <c r="C185" s="8">
        <v>2674.03</v>
      </c>
      <c r="D185" s="8">
        <v>2674.03</v>
      </c>
      <c r="E185" s="9">
        <v>1</v>
      </c>
      <c r="F185" s="10" t="s">
        <v>17</v>
      </c>
      <c r="G185" s="10" t="s">
        <v>17</v>
      </c>
    </row>
    <row r="186" spans="1:7" x14ac:dyDescent="0.25">
      <c r="A186" s="6" t="s">
        <v>58</v>
      </c>
      <c r="B186" s="7" t="s">
        <v>305</v>
      </c>
      <c r="C186" s="8">
        <v>2000</v>
      </c>
      <c r="D186" s="8">
        <v>2000</v>
      </c>
      <c r="E186" s="9">
        <v>1</v>
      </c>
      <c r="F186" s="10" t="s">
        <v>17</v>
      </c>
      <c r="G186" s="10" t="s">
        <v>17</v>
      </c>
    </row>
    <row r="187" spans="1:7" x14ac:dyDescent="0.25">
      <c r="A187" s="6" t="s">
        <v>59</v>
      </c>
      <c r="B187" s="7" t="s">
        <v>202</v>
      </c>
      <c r="C187" s="8">
        <v>1582.64</v>
      </c>
      <c r="D187" s="8">
        <v>19.43</v>
      </c>
      <c r="E187" s="9">
        <v>1.22769549613304E-2</v>
      </c>
      <c r="F187" s="10" t="s">
        <v>17</v>
      </c>
      <c r="G187" s="10" t="s">
        <v>17</v>
      </c>
    </row>
    <row r="188" spans="1:7" x14ac:dyDescent="0.25">
      <c r="A188" s="6" t="s">
        <v>60</v>
      </c>
      <c r="B188" s="7" t="s">
        <v>289</v>
      </c>
      <c r="C188" s="8">
        <v>1237.95</v>
      </c>
      <c r="D188" s="8">
        <v>54.98</v>
      </c>
      <c r="E188" s="9">
        <v>4.4412132961751297E-2</v>
      </c>
      <c r="F188" s="10" t="s">
        <v>17</v>
      </c>
      <c r="G188" s="10" t="s">
        <v>17</v>
      </c>
    </row>
    <row r="189" spans="1:7" x14ac:dyDescent="0.25">
      <c r="A189" s="6" t="s">
        <v>61</v>
      </c>
      <c r="B189" s="7" t="s">
        <v>295</v>
      </c>
      <c r="C189" s="8">
        <v>1200.01</v>
      </c>
      <c r="D189" s="8">
        <v>1200.01</v>
      </c>
      <c r="E189" s="9">
        <v>1</v>
      </c>
      <c r="F189" s="10" t="s">
        <v>17</v>
      </c>
      <c r="G189" s="10" t="s">
        <v>17</v>
      </c>
    </row>
    <row r="190" spans="1:7" x14ac:dyDescent="0.25">
      <c r="A190" s="6" t="s">
        <v>62</v>
      </c>
      <c r="B190" s="7" t="s">
        <v>327</v>
      </c>
      <c r="C190" s="8">
        <v>1150.42</v>
      </c>
      <c r="D190" s="8">
        <v>1150.42</v>
      </c>
      <c r="E190" s="9">
        <v>1</v>
      </c>
      <c r="F190" s="10" t="s">
        <v>17</v>
      </c>
      <c r="G190" s="10" t="s">
        <v>17</v>
      </c>
    </row>
    <row r="191" spans="1:7" x14ac:dyDescent="0.25">
      <c r="A191" s="6" t="s">
        <v>63</v>
      </c>
      <c r="B191" s="7" t="s">
        <v>314</v>
      </c>
      <c r="C191" s="8">
        <v>1000.42</v>
      </c>
      <c r="D191" s="8">
        <v>1000.42</v>
      </c>
      <c r="E191" s="9">
        <v>1</v>
      </c>
      <c r="F191" s="10" t="s">
        <v>17</v>
      </c>
      <c r="G191" s="10" t="s">
        <v>17</v>
      </c>
    </row>
    <row r="192" spans="1:7" x14ac:dyDescent="0.25">
      <c r="A192" s="6" t="s">
        <v>64</v>
      </c>
      <c r="B192" s="7" t="s">
        <v>290</v>
      </c>
      <c r="C192" s="8">
        <v>611.12</v>
      </c>
      <c r="D192" s="8">
        <v>89.51</v>
      </c>
      <c r="E192" s="9">
        <v>0.14646877863594701</v>
      </c>
      <c r="F192" s="10" t="s">
        <v>17</v>
      </c>
      <c r="G192" s="10" t="s">
        <v>17</v>
      </c>
    </row>
    <row r="193" spans="1:7" x14ac:dyDescent="0.25">
      <c r="A193" s="6" t="s">
        <v>65</v>
      </c>
      <c r="B193" s="7" t="s">
        <v>204</v>
      </c>
      <c r="C193" s="8">
        <v>21.6</v>
      </c>
      <c r="D193" s="8">
        <v>21.6</v>
      </c>
      <c r="E193" s="9">
        <v>1</v>
      </c>
      <c r="F193" s="10" t="s">
        <v>17</v>
      </c>
      <c r="G193" s="10" t="s">
        <v>17</v>
      </c>
    </row>
    <row r="194" spans="1:7" x14ac:dyDescent="0.25">
      <c r="A194" s="6" t="s">
        <v>66</v>
      </c>
      <c r="B194" s="7" t="s">
        <v>271</v>
      </c>
      <c r="C194" s="8">
        <v>20.07</v>
      </c>
      <c r="D194" s="8">
        <v>20.07</v>
      </c>
      <c r="E194" s="9">
        <v>1</v>
      </c>
      <c r="F194" s="10" t="s">
        <v>17</v>
      </c>
      <c r="G194" s="10" t="s">
        <v>17</v>
      </c>
    </row>
    <row r="195" spans="1:7" x14ac:dyDescent="0.25">
      <c r="A195" s="6" t="s">
        <v>67</v>
      </c>
      <c r="B195" s="7" t="s">
        <v>297</v>
      </c>
      <c r="C195" s="8">
        <v>6.87</v>
      </c>
      <c r="D195" s="8">
        <v>6.87</v>
      </c>
      <c r="E195" s="9">
        <v>1</v>
      </c>
      <c r="F195" s="10" t="s">
        <v>17</v>
      </c>
      <c r="G195" s="10" t="s">
        <v>17</v>
      </c>
    </row>
    <row r="196" spans="1:7" x14ac:dyDescent="0.25">
      <c r="A196" s="6" t="s">
        <v>68</v>
      </c>
      <c r="B196" s="7" t="s">
        <v>296</v>
      </c>
      <c r="C196" s="8">
        <v>3.17</v>
      </c>
      <c r="D196" s="8">
        <v>3.17</v>
      </c>
      <c r="E196" s="9">
        <v>1</v>
      </c>
      <c r="F196" s="10" t="s">
        <v>17</v>
      </c>
      <c r="G196" s="10" t="s">
        <v>17</v>
      </c>
    </row>
    <row r="197" spans="1:7" x14ac:dyDescent="0.25">
      <c r="A197" s="6" t="s">
        <v>69</v>
      </c>
      <c r="B197" s="7" t="s">
        <v>281</v>
      </c>
      <c r="C197" s="8">
        <v>0.33</v>
      </c>
      <c r="D197" s="8">
        <v>0.33</v>
      </c>
      <c r="E197" s="9">
        <v>1</v>
      </c>
      <c r="F197" s="10" t="s">
        <v>17</v>
      </c>
      <c r="G197" s="10" t="s">
        <v>17</v>
      </c>
    </row>
    <row r="198" spans="1:7" x14ac:dyDescent="0.25">
      <c r="A198" s="6" t="s">
        <v>70</v>
      </c>
      <c r="B198" s="7" t="s">
        <v>164</v>
      </c>
      <c r="C198" s="8">
        <v>0.03</v>
      </c>
      <c r="D198" s="8">
        <v>0.03</v>
      </c>
      <c r="E198" s="9">
        <v>1</v>
      </c>
      <c r="F198" s="10" t="s">
        <v>17</v>
      </c>
      <c r="G198" s="10" t="s">
        <v>17</v>
      </c>
    </row>
    <row r="199" spans="1:7" x14ac:dyDescent="0.25">
      <c r="A199" s="6" t="s">
        <v>71</v>
      </c>
      <c r="B199" s="7" t="s">
        <v>208</v>
      </c>
      <c r="C199" s="8">
        <v>0.01</v>
      </c>
      <c r="D199" s="8">
        <v>0.01</v>
      </c>
      <c r="E199" s="9">
        <v>1</v>
      </c>
      <c r="F199" s="10" t="s">
        <v>17</v>
      </c>
      <c r="G199" s="10" t="s">
        <v>17</v>
      </c>
    </row>
    <row r="200" spans="1:7" x14ac:dyDescent="0.25">
      <c r="A200" s="6" t="s">
        <v>72</v>
      </c>
      <c r="B200" s="7" t="s">
        <v>286</v>
      </c>
      <c r="C200" s="8">
        <v>0</v>
      </c>
      <c r="D200" s="8">
        <v>0</v>
      </c>
      <c r="E200" s="9">
        <v>0</v>
      </c>
      <c r="F200" s="10" t="s">
        <v>17</v>
      </c>
      <c r="G200" s="10" t="s">
        <v>17</v>
      </c>
    </row>
    <row r="201" spans="1:7" x14ac:dyDescent="0.25">
      <c r="A201" s="6" t="s">
        <v>73</v>
      </c>
      <c r="B201" s="7" t="s">
        <v>210</v>
      </c>
      <c r="C201" s="8">
        <v>0</v>
      </c>
      <c r="D201" s="8">
        <v>0</v>
      </c>
      <c r="E201" s="9">
        <v>0</v>
      </c>
      <c r="F201" s="10" t="s">
        <v>17</v>
      </c>
      <c r="G201" s="10" t="s">
        <v>17</v>
      </c>
    </row>
    <row r="202" spans="1:7" x14ac:dyDescent="0.25">
      <c r="A202" s="6" t="s">
        <v>74</v>
      </c>
      <c r="B202" s="7" t="s">
        <v>219</v>
      </c>
      <c r="C202" s="8">
        <v>0</v>
      </c>
      <c r="D202" s="8">
        <v>0</v>
      </c>
      <c r="E202" s="9">
        <v>0</v>
      </c>
      <c r="F202" s="10" t="s">
        <v>17</v>
      </c>
      <c r="G202" s="10" t="s">
        <v>17</v>
      </c>
    </row>
    <row r="203" spans="1:7" x14ac:dyDescent="0.25">
      <c r="A203" s="6" t="s">
        <v>75</v>
      </c>
      <c r="B203" s="7" t="s">
        <v>262</v>
      </c>
      <c r="C203" s="8">
        <v>0</v>
      </c>
      <c r="D203" s="8">
        <v>0</v>
      </c>
      <c r="E203" s="9">
        <v>0</v>
      </c>
      <c r="F203" s="10" t="s">
        <v>17</v>
      </c>
      <c r="G203" s="10" t="s">
        <v>17</v>
      </c>
    </row>
    <row r="204" spans="1:7" x14ac:dyDescent="0.25">
      <c r="A204" s="6" t="s">
        <v>76</v>
      </c>
      <c r="B204" s="7" t="s">
        <v>282</v>
      </c>
      <c r="C204" s="8">
        <v>0</v>
      </c>
      <c r="D204" s="8">
        <v>0</v>
      </c>
      <c r="E204" s="9">
        <v>0</v>
      </c>
      <c r="F204" s="10" t="s">
        <v>17</v>
      </c>
      <c r="G204" s="10" t="s">
        <v>17</v>
      </c>
    </row>
    <row r="205" spans="1:7" x14ac:dyDescent="0.25">
      <c r="A205" s="6" t="s">
        <v>77</v>
      </c>
      <c r="B205" s="7" t="s">
        <v>229</v>
      </c>
      <c r="C205" s="8">
        <v>0</v>
      </c>
      <c r="D205" s="8">
        <v>0</v>
      </c>
      <c r="E205" s="9">
        <v>0</v>
      </c>
      <c r="F205" s="10" t="s">
        <v>17</v>
      </c>
      <c r="G205" s="10" t="s">
        <v>17</v>
      </c>
    </row>
    <row r="206" spans="1:7" x14ac:dyDescent="0.25">
      <c r="A206" s="6" t="s">
        <v>78</v>
      </c>
      <c r="B206" s="7" t="s">
        <v>221</v>
      </c>
      <c r="C206" s="8">
        <v>0</v>
      </c>
      <c r="D206" s="8">
        <v>0</v>
      </c>
      <c r="E206" s="9">
        <v>0</v>
      </c>
      <c r="F206" s="10" t="s">
        <v>17</v>
      </c>
      <c r="G206" s="10" t="s">
        <v>17</v>
      </c>
    </row>
    <row r="207" spans="1:7" x14ac:dyDescent="0.25">
      <c r="C207" s="8"/>
      <c r="D207" s="8"/>
      <c r="E207" s="9"/>
    </row>
    <row r="212" spans="2:5" x14ac:dyDescent="0.25">
      <c r="B212" s="20" t="s">
        <v>273</v>
      </c>
      <c r="C212" s="21">
        <f>SUM(C2:C144)</f>
        <v>90455530.140000001</v>
      </c>
      <c r="D212" s="21">
        <f>SUM(D2:D144)</f>
        <v>25734503.64999998</v>
      </c>
      <c r="E212" s="22">
        <f>(D212 / C212)</f>
        <v>0.28449895335498149</v>
      </c>
    </row>
    <row r="216" spans="2:5" x14ac:dyDescent="0.25">
      <c r="B216" s="20" t="s">
        <v>272</v>
      </c>
      <c r="C216" s="21">
        <f>SUM(C145:C210)</f>
        <v>11482261.358499995</v>
      </c>
      <c r="D216" s="21">
        <f>SUM(D145:D210)</f>
        <v>7350860.0200000023</v>
      </c>
      <c r="E216" s="22">
        <f>(D216 / C216)</f>
        <v>0.64019271034606506</v>
      </c>
    </row>
    <row r="220" spans="2:5" x14ac:dyDescent="0.25">
      <c r="B220" s="20" t="s">
        <v>274</v>
      </c>
      <c r="C220" s="21">
        <f>SUM(C2:C216) / 2</f>
        <v>101937791.49850002</v>
      </c>
      <c r="D220" s="21">
        <f>SUM(D2:D216) / 2</f>
        <v>33085363.669999991</v>
      </c>
      <c r="E220" s="22">
        <f>(D220 / C220)</f>
        <v>0.32456425809938044</v>
      </c>
    </row>
  </sheetData>
  <pageMargins left="0.7" right="0.7" top="0.75" bottom="0.75" header="0.3" footer="0.3"/>
  <pageSetup orientation="landscape" r:id="rId1"/>
  <headerFooter>
    <oddHeader>&amp;R&amp;B&amp;12As of &amp;D&amp;C&amp;B&amp;12Sunset West Daily Cash Percentage Report</oddHeader>
    <oddFooter>&amp;C&amp;B&amp;12&amp;P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80027-C5FC-461A-B6A2-B4111470B0E0}">
  <dimension ref="A1:G221"/>
  <sheetViews>
    <sheetView workbookViewId="0">
      <selection activeCell="F9" sqref="F9"/>
    </sheetView>
  </sheetViews>
  <sheetFormatPr defaultRowHeight="15.75" x14ac:dyDescent="0.25"/>
  <cols>
    <col min="1" max="1" width="5" style="10" bestFit="1" customWidth="1"/>
    <col min="2" max="2" width="26.28515625" style="7" customWidth="1"/>
    <col min="3" max="3" width="15.140625" style="10" customWidth="1"/>
    <col min="4" max="4" width="14" style="10" customWidth="1"/>
    <col min="5" max="5" width="9.140625" style="10"/>
    <col min="6" max="6" width="9.7109375" style="10" customWidth="1"/>
    <col min="7" max="7" width="10.42578125" style="10" customWidth="1"/>
    <col min="8" max="16384" width="9.140625" style="1"/>
  </cols>
  <sheetData>
    <row r="1" spans="1:7" ht="31.5" x14ac:dyDescent="0.25">
      <c r="A1" s="18"/>
      <c r="B1" s="2" t="s">
        <v>157</v>
      </c>
      <c r="C1" s="3" t="s">
        <v>158</v>
      </c>
      <c r="D1" s="3" t="s">
        <v>159</v>
      </c>
      <c r="E1" s="4" t="s">
        <v>160</v>
      </c>
      <c r="F1" s="5" t="s">
        <v>161</v>
      </c>
      <c r="G1" s="5" t="s">
        <v>162</v>
      </c>
    </row>
    <row r="2" spans="1:7" x14ac:dyDescent="0.25">
      <c r="A2" s="6" t="s">
        <v>18</v>
      </c>
      <c r="B2" s="7" t="s">
        <v>163</v>
      </c>
      <c r="C2" s="8">
        <v>4964408.17</v>
      </c>
      <c r="D2" s="8">
        <v>1025277.22</v>
      </c>
      <c r="E2" s="9">
        <v>0.20652556858554999</v>
      </c>
      <c r="F2" s="10" t="s">
        <v>0</v>
      </c>
      <c r="G2" s="11">
        <f>(D2 / F2)</f>
        <v>75.946460740740733</v>
      </c>
    </row>
    <row r="3" spans="1:7" x14ac:dyDescent="0.25">
      <c r="A3" s="6" t="s">
        <v>19</v>
      </c>
      <c r="B3" s="7" t="s">
        <v>297</v>
      </c>
      <c r="C3" s="8">
        <v>4950068.3899999997</v>
      </c>
      <c r="D3" s="8">
        <v>4950068.3899999997</v>
      </c>
      <c r="E3" s="9">
        <v>1</v>
      </c>
      <c r="F3" s="10" t="s">
        <v>17</v>
      </c>
      <c r="G3" s="10" t="s">
        <v>17</v>
      </c>
    </row>
    <row r="4" spans="1:7" x14ac:dyDescent="0.25">
      <c r="A4" s="6" t="s">
        <v>20</v>
      </c>
      <c r="B4" s="7" t="s">
        <v>168</v>
      </c>
      <c r="C4" s="8">
        <v>4289067.7699999996</v>
      </c>
      <c r="D4" s="8">
        <v>1385417</v>
      </c>
      <c r="E4" s="9">
        <v>0.32301121695729201</v>
      </c>
      <c r="F4" s="10" t="s">
        <v>17</v>
      </c>
      <c r="G4" s="10" t="s">
        <v>17</v>
      </c>
    </row>
    <row r="5" spans="1:7" x14ac:dyDescent="0.25">
      <c r="A5" s="6" t="s">
        <v>21</v>
      </c>
      <c r="B5" s="7" t="s">
        <v>165</v>
      </c>
      <c r="C5" s="8">
        <v>3324979.2456999999</v>
      </c>
      <c r="D5" s="8">
        <v>699760.04</v>
      </c>
      <c r="E5" s="9">
        <v>0.210455461009255</v>
      </c>
      <c r="F5" s="10" t="s">
        <v>17</v>
      </c>
      <c r="G5" s="10" t="s">
        <v>17</v>
      </c>
    </row>
    <row r="6" spans="1:7" x14ac:dyDescent="0.25">
      <c r="A6" s="6" t="s">
        <v>22</v>
      </c>
      <c r="B6" s="7" t="s">
        <v>166</v>
      </c>
      <c r="C6" s="8">
        <v>2937352.56</v>
      </c>
      <c r="D6" s="8">
        <v>506837</v>
      </c>
      <c r="E6" s="9">
        <v>0.172548915953079</v>
      </c>
      <c r="F6" s="10" t="s">
        <v>17</v>
      </c>
      <c r="G6" s="10" t="s">
        <v>17</v>
      </c>
    </row>
    <row r="7" spans="1:7" x14ac:dyDescent="0.25">
      <c r="A7" s="6" t="s">
        <v>23</v>
      </c>
      <c r="B7" s="7" t="s">
        <v>164</v>
      </c>
      <c r="C7" s="8">
        <v>2927284.47</v>
      </c>
      <c r="D7" s="8">
        <v>568006.06000000006</v>
      </c>
      <c r="E7" s="9">
        <v>0.19403855888321001</v>
      </c>
      <c r="F7" s="10" t="s">
        <v>1</v>
      </c>
      <c r="G7" s="11">
        <f>(D7 / F7)</f>
        <v>61.539118093174437</v>
      </c>
    </row>
    <row r="8" spans="1:7" x14ac:dyDescent="0.25">
      <c r="A8" s="6" t="s">
        <v>24</v>
      </c>
      <c r="B8" s="7" t="s">
        <v>167</v>
      </c>
      <c r="C8" s="8">
        <v>2572065.0299999998</v>
      </c>
      <c r="D8" s="8">
        <v>1103513.17</v>
      </c>
      <c r="E8" s="9">
        <v>0.42903781868998903</v>
      </c>
      <c r="F8" s="10" t="s">
        <v>2</v>
      </c>
      <c r="G8" s="11">
        <f>(D8 / F8)</f>
        <v>429.71696651090338</v>
      </c>
    </row>
    <row r="9" spans="1:7" x14ac:dyDescent="0.25">
      <c r="A9" s="6" t="s">
        <v>25</v>
      </c>
      <c r="B9" s="7" t="s">
        <v>169</v>
      </c>
      <c r="C9" s="8">
        <v>2279989.37</v>
      </c>
      <c r="D9" s="8">
        <v>351894.64</v>
      </c>
      <c r="E9" s="9">
        <v>0.15434047396457801</v>
      </c>
      <c r="F9" s="10" t="s">
        <v>293</v>
      </c>
      <c r="G9" s="11">
        <f>(D9 / F9)</f>
        <v>37.04154105263158</v>
      </c>
    </row>
    <row r="10" spans="1:7" x14ac:dyDescent="0.25">
      <c r="A10" s="6" t="s">
        <v>26</v>
      </c>
      <c r="B10" s="7" t="s">
        <v>170</v>
      </c>
      <c r="C10" s="8">
        <v>2105200.2999999998</v>
      </c>
      <c r="D10" s="8">
        <v>300607.37</v>
      </c>
      <c r="E10" s="9">
        <v>0.14279276418495701</v>
      </c>
      <c r="F10" s="10" t="s">
        <v>3</v>
      </c>
      <c r="G10" s="11">
        <f>(D10 / F10)</f>
        <v>37.57592125</v>
      </c>
    </row>
    <row r="11" spans="1:7" x14ac:dyDescent="0.25">
      <c r="A11" s="6" t="s">
        <v>27</v>
      </c>
      <c r="B11" s="7" t="s">
        <v>171</v>
      </c>
      <c r="C11" s="8">
        <v>2003644.42</v>
      </c>
      <c r="D11" s="8">
        <v>312687.71999999997</v>
      </c>
      <c r="E11" s="9">
        <v>0.156059486842481</v>
      </c>
      <c r="F11" s="10" t="s">
        <v>17</v>
      </c>
      <c r="G11" s="10" t="s">
        <v>17</v>
      </c>
    </row>
    <row r="12" spans="1:7" x14ac:dyDescent="0.25">
      <c r="A12" s="6" t="s">
        <v>28</v>
      </c>
      <c r="B12" s="7" t="s">
        <v>172</v>
      </c>
      <c r="C12" s="8">
        <v>1903403.37</v>
      </c>
      <c r="D12" s="8">
        <v>388973.37</v>
      </c>
      <c r="E12" s="9">
        <v>0.20435677278432099</v>
      </c>
      <c r="F12" s="10" t="s">
        <v>17</v>
      </c>
      <c r="G12" s="10" t="s">
        <v>17</v>
      </c>
    </row>
    <row r="13" spans="1:7" x14ac:dyDescent="0.25">
      <c r="A13" s="6" t="s">
        <v>29</v>
      </c>
      <c r="B13" s="7" t="s">
        <v>316</v>
      </c>
      <c r="C13" s="8">
        <v>1884007.5429</v>
      </c>
      <c r="D13" s="8">
        <v>993136.78</v>
      </c>
      <c r="E13" s="9">
        <v>0.52714055405069804</v>
      </c>
      <c r="F13" s="10" t="s">
        <v>17</v>
      </c>
      <c r="G13" s="10" t="s">
        <v>17</v>
      </c>
    </row>
    <row r="14" spans="1:7" x14ac:dyDescent="0.25">
      <c r="A14" s="6" t="s">
        <v>30</v>
      </c>
      <c r="B14" s="7" t="s">
        <v>173</v>
      </c>
      <c r="C14" s="8">
        <v>1824192.26</v>
      </c>
      <c r="D14" s="8">
        <v>335322.28999999998</v>
      </c>
      <c r="E14" s="9">
        <v>0.183819599146857</v>
      </c>
      <c r="F14" s="10" t="s">
        <v>4</v>
      </c>
      <c r="G14" s="11">
        <f>(D14 / F14)</f>
        <v>55.887048333333333</v>
      </c>
    </row>
    <row r="15" spans="1:7" x14ac:dyDescent="0.25">
      <c r="A15" s="6" t="s">
        <v>31</v>
      </c>
      <c r="B15" s="7" t="s">
        <v>299</v>
      </c>
      <c r="C15" s="8">
        <v>1723429.73</v>
      </c>
      <c r="D15" s="8">
        <v>1157208.3600000001</v>
      </c>
      <c r="E15" s="9">
        <v>0.67145665405226596</v>
      </c>
      <c r="F15" s="10" t="s">
        <v>17</v>
      </c>
      <c r="G15" s="10" t="s">
        <v>17</v>
      </c>
    </row>
    <row r="16" spans="1:7" x14ac:dyDescent="0.25">
      <c r="A16" s="6" t="s">
        <v>32</v>
      </c>
      <c r="B16" s="7" t="s">
        <v>175</v>
      </c>
      <c r="C16" s="8">
        <v>1335550.3799999999</v>
      </c>
      <c r="D16" s="8">
        <v>276453.27</v>
      </c>
      <c r="E16" s="9">
        <v>0.206995763050137</v>
      </c>
      <c r="F16" s="10" t="s">
        <v>17</v>
      </c>
      <c r="G16" s="10" t="s">
        <v>17</v>
      </c>
    </row>
    <row r="17" spans="1:7" x14ac:dyDescent="0.25">
      <c r="A17" s="6" t="s">
        <v>33</v>
      </c>
      <c r="B17" s="7" t="s">
        <v>296</v>
      </c>
      <c r="C17" s="8">
        <v>1245294.7</v>
      </c>
      <c r="D17" s="8">
        <v>127189.75</v>
      </c>
      <c r="E17" s="9">
        <v>0.102136265415729</v>
      </c>
      <c r="F17" s="10" t="s">
        <v>17</v>
      </c>
      <c r="G17" s="10" t="s">
        <v>17</v>
      </c>
    </row>
    <row r="18" spans="1:7" x14ac:dyDescent="0.25">
      <c r="A18" s="6" t="s">
        <v>34</v>
      </c>
      <c r="B18" s="7" t="s">
        <v>177</v>
      </c>
      <c r="C18" s="8">
        <v>1233273.22</v>
      </c>
      <c r="D18" s="8">
        <v>268077.39</v>
      </c>
      <c r="E18" s="9">
        <v>0.21737064070847201</v>
      </c>
      <c r="F18" s="10" t="s">
        <v>5</v>
      </c>
      <c r="G18" s="11">
        <f>(D18 / F18)</f>
        <v>119.14550666666668</v>
      </c>
    </row>
    <row r="19" spans="1:7" x14ac:dyDescent="0.25">
      <c r="A19" s="6" t="s">
        <v>35</v>
      </c>
      <c r="B19" s="7" t="s">
        <v>176</v>
      </c>
      <c r="C19" s="8">
        <v>1228291.3500000001</v>
      </c>
      <c r="D19" s="8">
        <v>305187.17</v>
      </c>
      <c r="E19" s="9">
        <v>0.24846480438049201</v>
      </c>
      <c r="F19" s="10" t="s">
        <v>17</v>
      </c>
      <c r="G19" s="10" t="s">
        <v>17</v>
      </c>
    </row>
    <row r="20" spans="1:7" x14ac:dyDescent="0.25">
      <c r="A20" s="6" t="s">
        <v>36</v>
      </c>
      <c r="B20" s="7" t="s">
        <v>178</v>
      </c>
      <c r="C20" s="8">
        <v>1227555.03</v>
      </c>
      <c r="D20" s="8">
        <v>266869.27</v>
      </c>
      <c r="E20" s="9">
        <v>0.21739902772424</v>
      </c>
      <c r="F20" s="10" t="s">
        <v>17</v>
      </c>
      <c r="G20" s="10" t="s">
        <v>17</v>
      </c>
    </row>
    <row r="21" spans="1:7" x14ac:dyDescent="0.25">
      <c r="A21" s="6" t="s">
        <v>37</v>
      </c>
      <c r="B21" s="7" t="s">
        <v>182</v>
      </c>
      <c r="C21" s="8">
        <v>1214569.95</v>
      </c>
      <c r="D21" s="8">
        <v>39782.18</v>
      </c>
      <c r="E21" s="9">
        <v>3.2754128323362497E-2</v>
      </c>
      <c r="F21" s="10" t="s">
        <v>17</v>
      </c>
      <c r="G21" s="10" t="s">
        <v>17</v>
      </c>
    </row>
    <row r="22" spans="1:7" x14ac:dyDescent="0.25">
      <c r="A22" s="6" t="s">
        <v>38</v>
      </c>
      <c r="B22" s="7" t="s">
        <v>184</v>
      </c>
      <c r="C22" s="8">
        <v>1133506.77</v>
      </c>
      <c r="D22" s="8">
        <v>117209.14</v>
      </c>
      <c r="E22" s="9">
        <v>0.103404005253537</v>
      </c>
      <c r="F22" s="10" t="s">
        <v>17</v>
      </c>
      <c r="G22" s="10" t="s">
        <v>17</v>
      </c>
    </row>
    <row r="23" spans="1:7" x14ac:dyDescent="0.25">
      <c r="A23" s="6" t="s">
        <v>39</v>
      </c>
      <c r="B23" s="7" t="s">
        <v>180</v>
      </c>
      <c r="C23" s="8">
        <v>1130117.8600000001</v>
      </c>
      <c r="D23" s="8">
        <v>298815.03999999998</v>
      </c>
      <c r="E23" s="9">
        <v>0.26441051024536499</v>
      </c>
      <c r="F23" s="10" t="s">
        <v>17</v>
      </c>
      <c r="G23" s="10" t="s">
        <v>17</v>
      </c>
    </row>
    <row r="24" spans="1:7" x14ac:dyDescent="0.25">
      <c r="A24" s="6" t="s">
        <v>40</v>
      </c>
      <c r="B24" s="7" t="s">
        <v>189</v>
      </c>
      <c r="C24" s="8">
        <v>1127279.3700000001</v>
      </c>
      <c r="D24" s="8">
        <v>297560.07</v>
      </c>
      <c r="E24" s="9">
        <v>0.26396302275983302</v>
      </c>
      <c r="F24" s="10" t="s">
        <v>17</v>
      </c>
      <c r="G24" s="10" t="s">
        <v>17</v>
      </c>
    </row>
    <row r="25" spans="1:7" x14ac:dyDescent="0.25">
      <c r="A25" s="6" t="s">
        <v>41</v>
      </c>
      <c r="B25" s="7" t="s">
        <v>186</v>
      </c>
      <c r="C25" s="8">
        <v>1124012.51</v>
      </c>
      <c r="D25" s="8">
        <v>23460.69</v>
      </c>
      <c r="E25" s="9">
        <v>2.0872267693888901E-2</v>
      </c>
      <c r="F25" s="10" t="s">
        <v>17</v>
      </c>
      <c r="G25" s="10" t="s">
        <v>17</v>
      </c>
    </row>
    <row r="26" spans="1:7" x14ac:dyDescent="0.25">
      <c r="A26" s="6" t="s">
        <v>42</v>
      </c>
      <c r="B26" s="7" t="s">
        <v>179</v>
      </c>
      <c r="C26" s="8">
        <v>1114683.73</v>
      </c>
      <c r="D26" s="8">
        <v>247990.05</v>
      </c>
      <c r="E26" s="9">
        <v>0.22247570618080201</v>
      </c>
      <c r="F26" s="10" t="s">
        <v>4</v>
      </c>
      <c r="G26" s="11">
        <f>(D26 / F26)</f>
        <v>41.331674999999997</v>
      </c>
    </row>
    <row r="27" spans="1:7" x14ac:dyDescent="0.25">
      <c r="A27" s="12" t="s">
        <v>43</v>
      </c>
      <c r="B27" s="13" t="s">
        <v>181</v>
      </c>
      <c r="C27" s="14">
        <v>1034057.5144</v>
      </c>
      <c r="D27" s="14">
        <v>238214.46</v>
      </c>
      <c r="E27" s="15">
        <v>0.230368675516295</v>
      </c>
      <c r="F27" s="16" t="s">
        <v>6</v>
      </c>
      <c r="G27" s="17">
        <f>(D27 / F27)</f>
        <v>23.821445999999998</v>
      </c>
    </row>
    <row r="28" spans="1:7" x14ac:dyDescent="0.25">
      <c r="A28" s="6" t="s">
        <v>44</v>
      </c>
      <c r="B28" s="7" t="s">
        <v>206</v>
      </c>
      <c r="C28" s="8">
        <v>1007420.17</v>
      </c>
      <c r="D28" s="8">
        <v>417190.24</v>
      </c>
      <c r="E28" s="9">
        <v>0.41411741835583898</v>
      </c>
      <c r="F28" s="10" t="s">
        <v>17</v>
      </c>
      <c r="G28" s="10" t="s">
        <v>17</v>
      </c>
    </row>
    <row r="29" spans="1:7" x14ac:dyDescent="0.25">
      <c r="A29" s="6" t="s">
        <v>45</v>
      </c>
      <c r="B29" s="7" t="s">
        <v>300</v>
      </c>
      <c r="C29" s="8">
        <v>995150.34</v>
      </c>
      <c r="D29" s="8">
        <v>235977.19</v>
      </c>
      <c r="E29" s="9">
        <v>0.23712717618123899</v>
      </c>
      <c r="F29" s="10" t="s">
        <v>17</v>
      </c>
      <c r="G29" s="10" t="s">
        <v>17</v>
      </c>
    </row>
    <row r="30" spans="1:7" x14ac:dyDescent="0.25">
      <c r="A30" s="6" t="s">
        <v>46</v>
      </c>
      <c r="B30" s="7" t="s">
        <v>187</v>
      </c>
      <c r="C30" s="8">
        <v>957298.9</v>
      </c>
      <c r="D30" s="8">
        <v>192243.47</v>
      </c>
      <c r="E30" s="9">
        <v>0.200818647133095</v>
      </c>
      <c r="F30" s="10" t="s">
        <v>17</v>
      </c>
      <c r="G30" s="10" t="s">
        <v>17</v>
      </c>
    </row>
    <row r="31" spans="1:7" x14ac:dyDescent="0.25">
      <c r="A31" s="6" t="s">
        <v>47</v>
      </c>
      <c r="B31" s="7" t="s">
        <v>188</v>
      </c>
      <c r="C31" s="8">
        <v>952665.78</v>
      </c>
      <c r="D31" s="8">
        <v>175316.24</v>
      </c>
      <c r="E31" s="9">
        <v>0.18402701522458401</v>
      </c>
      <c r="F31" s="10" t="s">
        <v>17</v>
      </c>
      <c r="G31" s="10" t="s">
        <v>17</v>
      </c>
    </row>
    <row r="32" spans="1:7" x14ac:dyDescent="0.25">
      <c r="A32" s="6" t="s">
        <v>48</v>
      </c>
      <c r="B32" s="7" t="s">
        <v>174</v>
      </c>
      <c r="C32" s="8">
        <v>925417.67</v>
      </c>
      <c r="D32" s="8">
        <v>796704.62</v>
      </c>
      <c r="E32" s="9">
        <v>0.86091355917161205</v>
      </c>
      <c r="F32" s="10" t="s">
        <v>17</v>
      </c>
      <c r="G32" s="10" t="s">
        <v>17</v>
      </c>
    </row>
    <row r="33" spans="1:7" x14ac:dyDescent="0.25">
      <c r="A33" s="6" t="s">
        <v>49</v>
      </c>
      <c r="B33" s="7" t="s">
        <v>199</v>
      </c>
      <c r="C33" s="8">
        <v>923480.29</v>
      </c>
      <c r="D33" s="8">
        <v>306391.07</v>
      </c>
      <c r="E33" s="9">
        <v>0.33177867824336599</v>
      </c>
      <c r="F33" s="10" t="s">
        <v>12</v>
      </c>
      <c r="G33" s="11">
        <f>(D33 / F33)</f>
        <v>68.086904444444443</v>
      </c>
    </row>
    <row r="34" spans="1:7" x14ac:dyDescent="0.25">
      <c r="A34" s="6" t="s">
        <v>50</v>
      </c>
      <c r="B34" s="7" t="s">
        <v>185</v>
      </c>
      <c r="C34" s="8">
        <v>903679.43</v>
      </c>
      <c r="D34" s="8">
        <v>207171.93</v>
      </c>
      <c r="E34" s="9">
        <v>0.229253785272063</v>
      </c>
      <c r="F34" s="10" t="s">
        <v>7</v>
      </c>
      <c r="G34" s="11">
        <f>(D34 / F34)</f>
        <v>59.191980000000001</v>
      </c>
    </row>
    <row r="35" spans="1:7" x14ac:dyDescent="0.25">
      <c r="A35" s="6" t="s">
        <v>51</v>
      </c>
      <c r="B35" s="7" t="s">
        <v>190</v>
      </c>
      <c r="C35" s="8">
        <v>884476.26</v>
      </c>
      <c r="D35" s="8">
        <v>248529.2</v>
      </c>
      <c r="E35" s="9">
        <v>0.28099024387607602</v>
      </c>
      <c r="F35" s="10" t="s">
        <v>17</v>
      </c>
      <c r="G35" s="10" t="s">
        <v>17</v>
      </c>
    </row>
    <row r="36" spans="1:7" x14ac:dyDescent="0.25">
      <c r="A36" s="6" t="s">
        <v>52</v>
      </c>
      <c r="B36" s="7" t="s">
        <v>194</v>
      </c>
      <c r="C36" s="8">
        <v>852405.98</v>
      </c>
      <c r="D36" s="8">
        <v>162798.5</v>
      </c>
      <c r="E36" s="9">
        <v>0.19098704586751</v>
      </c>
      <c r="F36" s="10" t="s">
        <v>10</v>
      </c>
      <c r="G36" s="11">
        <f>(D36 / F36)</f>
        <v>325.59699999999998</v>
      </c>
    </row>
    <row r="37" spans="1:7" x14ac:dyDescent="0.25">
      <c r="A37" s="6" t="s">
        <v>53</v>
      </c>
      <c r="B37" s="7" t="s">
        <v>192</v>
      </c>
      <c r="C37" s="8">
        <v>844385.21</v>
      </c>
      <c r="D37" s="8">
        <v>185499.16</v>
      </c>
      <c r="E37" s="9">
        <v>0.21968546796313501</v>
      </c>
      <c r="F37" s="10" t="s">
        <v>17</v>
      </c>
      <c r="G37" s="10" t="s">
        <v>17</v>
      </c>
    </row>
    <row r="38" spans="1:7" x14ac:dyDescent="0.25">
      <c r="A38" s="6" t="s">
        <v>54</v>
      </c>
      <c r="B38" s="7" t="s">
        <v>193</v>
      </c>
      <c r="C38" s="8">
        <v>816470.51</v>
      </c>
      <c r="D38" s="8">
        <v>154323.98000000001</v>
      </c>
      <c r="E38" s="9">
        <v>0.18901353828443801</v>
      </c>
      <c r="F38" s="10" t="s">
        <v>9</v>
      </c>
      <c r="G38" s="11">
        <f>(D38 / F38)</f>
        <v>60.519207843137259</v>
      </c>
    </row>
    <row r="39" spans="1:7" x14ac:dyDescent="0.25">
      <c r="A39" s="6" t="s">
        <v>55</v>
      </c>
      <c r="B39" s="7" t="s">
        <v>301</v>
      </c>
      <c r="C39" s="8">
        <v>804904.43</v>
      </c>
      <c r="D39" s="8">
        <v>537692.68999999994</v>
      </c>
      <c r="E39" s="9">
        <v>0.66802053754381796</v>
      </c>
      <c r="F39" s="10" t="s">
        <v>17</v>
      </c>
      <c r="G39" s="10" t="s">
        <v>17</v>
      </c>
    </row>
    <row r="40" spans="1:7" x14ac:dyDescent="0.25">
      <c r="A40" s="6" t="s">
        <v>56</v>
      </c>
      <c r="B40" s="7" t="s">
        <v>191</v>
      </c>
      <c r="C40" s="8">
        <v>802769.58</v>
      </c>
      <c r="D40" s="8">
        <v>172869.74</v>
      </c>
      <c r="E40" s="9">
        <v>0.21534166753055101</v>
      </c>
      <c r="F40" s="10" t="s">
        <v>8</v>
      </c>
      <c r="G40" s="11">
        <f>(D40 / F40)</f>
        <v>64.025829629629627</v>
      </c>
    </row>
    <row r="41" spans="1:7" x14ac:dyDescent="0.25">
      <c r="A41" s="6" t="s">
        <v>57</v>
      </c>
      <c r="B41" s="7" t="s">
        <v>195</v>
      </c>
      <c r="C41" s="8">
        <v>799212.76</v>
      </c>
      <c r="D41" s="8">
        <v>194266.85</v>
      </c>
      <c r="E41" s="9">
        <v>0.24307275824775401</v>
      </c>
      <c r="F41" s="10" t="s">
        <v>17</v>
      </c>
      <c r="G41" s="10" t="s">
        <v>17</v>
      </c>
    </row>
    <row r="42" spans="1:7" x14ac:dyDescent="0.25">
      <c r="A42" s="6" t="s">
        <v>58</v>
      </c>
      <c r="B42" s="7" t="s">
        <v>219</v>
      </c>
      <c r="C42" s="8">
        <v>792719.29</v>
      </c>
      <c r="D42" s="8">
        <v>310381.67</v>
      </c>
      <c r="E42" s="9">
        <v>0.39154045311550301</v>
      </c>
      <c r="F42" s="10" t="s">
        <v>17</v>
      </c>
      <c r="G42" s="10" t="s">
        <v>17</v>
      </c>
    </row>
    <row r="43" spans="1:7" x14ac:dyDescent="0.25">
      <c r="A43" s="6" t="s">
        <v>59</v>
      </c>
      <c r="B43" s="7" t="s">
        <v>302</v>
      </c>
      <c r="C43" s="8">
        <v>756796.79</v>
      </c>
      <c r="D43" s="8">
        <v>406897.82</v>
      </c>
      <c r="E43" s="9">
        <v>0.537657962317731</v>
      </c>
      <c r="F43" s="10" t="s">
        <v>17</v>
      </c>
      <c r="G43" s="10" t="s">
        <v>17</v>
      </c>
    </row>
    <row r="44" spans="1:7" x14ac:dyDescent="0.25">
      <c r="A44" s="6" t="s">
        <v>60</v>
      </c>
      <c r="B44" s="7" t="s">
        <v>252</v>
      </c>
      <c r="C44" s="8">
        <v>713217.92</v>
      </c>
      <c r="D44" s="8">
        <v>134402.45000000001</v>
      </c>
      <c r="E44" s="9">
        <v>0.188445138899483</v>
      </c>
      <c r="F44" s="10" t="s">
        <v>17</v>
      </c>
      <c r="G44" s="10" t="s">
        <v>17</v>
      </c>
    </row>
    <row r="45" spans="1:7" x14ac:dyDescent="0.25">
      <c r="A45" s="6" t="s">
        <v>61</v>
      </c>
      <c r="B45" s="7" t="s">
        <v>196</v>
      </c>
      <c r="C45" s="8">
        <v>706762.55</v>
      </c>
      <c r="D45" s="8">
        <v>94668.44</v>
      </c>
      <c r="E45" s="9">
        <v>0.133946599179597</v>
      </c>
      <c r="F45" s="10" t="s">
        <v>17</v>
      </c>
      <c r="G45" s="10" t="s">
        <v>17</v>
      </c>
    </row>
    <row r="46" spans="1:7" x14ac:dyDescent="0.25">
      <c r="A46" s="6" t="s">
        <v>62</v>
      </c>
      <c r="B46" s="7" t="s">
        <v>198</v>
      </c>
      <c r="C46" s="8">
        <v>692610.77</v>
      </c>
      <c r="D46" s="8">
        <v>102940.76</v>
      </c>
      <c r="E46" s="9">
        <v>0.14862714306333999</v>
      </c>
      <c r="F46" s="10" t="s">
        <v>17</v>
      </c>
      <c r="G46" s="10" t="s">
        <v>17</v>
      </c>
    </row>
    <row r="47" spans="1:7" x14ac:dyDescent="0.25">
      <c r="A47" s="6" t="s">
        <v>63</v>
      </c>
      <c r="B47" s="7" t="s">
        <v>201</v>
      </c>
      <c r="C47" s="8">
        <v>634359.32999999996</v>
      </c>
      <c r="D47" s="8">
        <v>112973.6</v>
      </c>
      <c r="E47" s="9">
        <v>0.178090862161671</v>
      </c>
      <c r="F47" s="10" t="s">
        <v>13</v>
      </c>
      <c r="G47" s="11">
        <f>(D47 / F47)</f>
        <v>37.657866666666671</v>
      </c>
    </row>
    <row r="48" spans="1:7" x14ac:dyDescent="0.25">
      <c r="A48" s="6" t="s">
        <v>64</v>
      </c>
      <c r="B48" s="7" t="s">
        <v>213</v>
      </c>
      <c r="C48" s="8">
        <v>630318.41</v>
      </c>
      <c r="D48" s="8">
        <v>7203.21</v>
      </c>
      <c r="E48" s="9">
        <v>1.14278908655072E-2</v>
      </c>
      <c r="F48" s="10" t="s">
        <v>17</v>
      </c>
      <c r="G48" s="10" t="s">
        <v>17</v>
      </c>
    </row>
    <row r="49" spans="1:7" x14ac:dyDescent="0.25">
      <c r="A49" s="6" t="s">
        <v>65</v>
      </c>
      <c r="B49" s="7" t="s">
        <v>197</v>
      </c>
      <c r="C49" s="8">
        <v>622626.87</v>
      </c>
      <c r="D49" s="8">
        <v>153621.79</v>
      </c>
      <c r="E49" s="9">
        <v>0.24673170626253299</v>
      </c>
      <c r="F49" s="10" t="s">
        <v>11</v>
      </c>
      <c r="G49" s="11">
        <f>(D49 / F49)</f>
        <v>40.820055853897685</v>
      </c>
    </row>
    <row r="50" spans="1:7" x14ac:dyDescent="0.25">
      <c r="A50" s="6" t="s">
        <v>66</v>
      </c>
      <c r="B50" s="7" t="s">
        <v>205</v>
      </c>
      <c r="C50" s="8">
        <v>589352.56999999995</v>
      </c>
      <c r="D50" s="8">
        <v>86920.05</v>
      </c>
      <c r="E50" s="9">
        <v>0.14748395854115001</v>
      </c>
      <c r="F50" s="10" t="s">
        <v>17</v>
      </c>
      <c r="G50" s="10" t="s">
        <v>17</v>
      </c>
    </row>
    <row r="51" spans="1:7" x14ac:dyDescent="0.25">
      <c r="A51" s="6" t="s">
        <v>67</v>
      </c>
      <c r="B51" s="7" t="s">
        <v>202</v>
      </c>
      <c r="C51" s="8">
        <v>562485.13</v>
      </c>
      <c r="D51" s="8">
        <v>115803</v>
      </c>
      <c r="E51" s="9">
        <v>0.20587744248456799</v>
      </c>
      <c r="F51" s="10" t="s">
        <v>17</v>
      </c>
      <c r="G51" s="10" t="s">
        <v>17</v>
      </c>
    </row>
    <row r="52" spans="1:7" x14ac:dyDescent="0.25">
      <c r="A52" s="6" t="s">
        <v>68</v>
      </c>
      <c r="B52" s="7" t="s">
        <v>203</v>
      </c>
      <c r="C52" s="8">
        <v>550079.56000000006</v>
      </c>
      <c r="D52" s="8">
        <v>61771.08</v>
      </c>
      <c r="E52" s="9">
        <v>0.11229481059067201</v>
      </c>
      <c r="F52" s="10" t="s">
        <v>17</v>
      </c>
      <c r="G52" s="10" t="s">
        <v>17</v>
      </c>
    </row>
    <row r="53" spans="1:7" x14ac:dyDescent="0.25">
      <c r="A53" s="6" t="s">
        <v>69</v>
      </c>
      <c r="B53" s="7" t="s">
        <v>204</v>
      </c>
      <c r="C53" s="8">
        <v>522471.83</v>
      </c>
      <c r="D53" s="8">
        <v>104229.92</v>
      </c>
      <c r="E53" s="9">
        <v>0.19949385596540201</v>
      </c>
      <c r="F53" s="10" t="s">
        <v>17</v>
      </c>
      <c r="G53" s="10" t="s">
        <v>17</v>
      </c>
    </row>
    <row r="54" spans="1:7" x14ac:dyDescent="0.25">
      <c r="A54" s="6" t="s">
        <v>70</v>
      </c>
      <c r="B54" s="7" t="s">
        <v>237</v>
      </c>
      <c r="C54" s="8">
        <v>492567.13</v>
      </c>
      <c r="D54" s="8">
        <v>211370.06</v>
      </c>
      <c r="E54" s="9">
        <v>0.429119295881558</v>
      </c>
      <c r="F54" s="10" t="s">
        <v>17</v>
      </c>
      <c r="G54" s="10" t="s">
        <v>17</v>
      </c>
    </row>
    <row r="55" spans="1:7" x14ac:dyDescent="0.25">
      <c r="A55" s="6" t="s">
        <v>71</v>
      </c>
      <c r="B55" s="7" t="s">
        <v>200</v>
      </c>
      <c r="C55" s="8">
        <v>473247.01</v>
      </c>
      <c r="D55" s="8">
        <v>95361.95</v>
      </c>
      <c r="E55" s="9">
        <v>0.20150565769026199</v>
      </c>
      <c r="F55" s="10" t="s">
        <v>17</v>
      </c>
      <c r="G55" s="10" t="s">
        <v>17</v>
      </c>
    </row>
    <row r="56" spans="1:7" x14ac:dyDescent="0.25">
      <c r="A56" s="6" t="s">
        <v>72</v>
      </c>
      <c r="B56" s="7" t="s">
        <v>215</v>
      </c>
      <c r="C56" s="8">
        <v>465107.86</v>
      </c>
      <c r="D56" s="8">
        <v>73004.539999999994</v>
      </c>
      <c r="E56" s="9">
        <v>0.156962602180062</v>
      </c>
      <c r="F56" s="10" t="s">
        <v>17</v>
      </c>
      <c r="G56" s="10" t="s">
        <v>17</v>
      </c>
    </row>
    <row r="57" spans="1:7" x14ac:dyDescent="0.25">
      <c r="A57" s="6" t="s">
        <v>73</v>
      </c>
      <c r="B57" s="7" t="s">
        <v>207</v>
      </c>
      <c r="C57" s="8">
        <v>459942.06</v>
      </c>
      <c r="D57" s="8">
        <v>137588.20000000001</v>
      </c>
      <c r="E57" s="9">
        <v>0.299142461552657</v>
      </c>
      <c r="F57" s="10" t="s">
        <v>17</v>
      </c>
      <c r="G57" s="10" t="s">
        <v>17</v>
      </c>
    </row>
    <row r="58" spans="1:7" x14ac:dyDescent="0.25">
      <c r="A58" s="6" t="s">
        <v>74</v>
      </c>
      <c r="B58" s="7" t="s">
        <v>208</v>
      </c>
      <c r="C58" s="8">
        <v>459414.08010000002</v>
      </c>
      <c r="D58" s="8">
        <v>94985.4</v>
      </c>
      <c r="E58" s="9">
        <v>0.206753349787026</v>
      </c>
      <c r="F58" s="10" t="s">
        <v>14</v>
      </c>
      <c r="G58" s="11">
        <f>(D58 / F58)</f>
        <v>37.994160000000001</v>
      </c>
    </row>
    <row r="59" spans="1:7" x14ac:dyDescent="0.25">
      <c r="A59" s="6" t="s">
        <v>75</v>
      </c>
      <c r="B59" s="7" t="s">
        <v>221</v>
      </c>
      <c r="C59" s="8">
        <v>454709.41</v>
      </c>
      <c r="D59" s="8">
        <v>155031.31</v>
      </c>
      <c r="E59" s="9">
        <v>0.34094590213121001</v>
      </c>
      <c r="F59" s="10" t="s">
        <v>17</v>
      </c>
      <c r="G59" s="10" t="s">
        <v>17</v>
      </c>
    </row>
    <row r="60" spans="1:7" x14ac:dyDescent="0.25">
      <c r="A60" s="6" t="s">
        <v>76</v>
      </c>
      <c r="B60" s="7" t="s">
        <v>250</v>
      </c>
      <c r="C60" s="8">
        <v>440083.63</v>
      </c>
      <c r="D60" s="8">
        <v>215085.8</v>
      </c>
      <c r="E60" s="9">
        <v>0.48873847000398501</v>
      </c>
      <c r="F60" s="10" t="s">
        <v>17</v>
      </c>
      <c r="G60" s="10" t="s">
        <v>17</v>
      </c>
    </row>
    <row r="61" spans="1:7" x14ac:dyDescent="0.25">
      <c r="A61" s="6" t="s">
        <v>77</v>
      </c>
      <c r="B61" s="7" t="s">
        <v>223</v>
      </c>
      <c r="C61" s="8">
        <v>430183.12</v>
      </c>
      <c r="D61" s="8">
        <v>57200.74</v>
      </c>
      <c r="E61" s="9">
        <v>0.132968350780477</v>
      </c>
      <c r="F61" s="10" t="s">
        <v>17</v>
      </c>
      <c r="G61" s="10" t="s">
        <v>17</v>
      </c>
    </row>
    <row r="62" spans="1:7" x14ac:dyDescent="0.25">
      <c r="A62" s="6" t="s">
        <v>78</v>
      </c>
      <c r="B62" s="7" t="s">
        <v>214</v>
      </c>
      <c r="C62" s="8">
        <v>411129.39</v>
      </c>
      <c r="D62" s="8">
        <v>19167.599999999999</v>
      </c>
      <c r="E62" s="9">
        <v>4.6621818985015898E-2</v>
      </c>
      <c r="F62" s="10" t="s">
        <v>17</v>
      </c>
      <c r="G62" s="10" t="s">
        <v>17</v>
      </c>
    </row>
    <row r="63" spans="1:7" x14ac:dyDescent="0.25">
      <c r="A63" s="6" t="s">
        <v>79</v>
      </c>
      <c r="B63" s="7" t="s">
        <v>211</v>
      </c>
      <c r="C63" s="8">
        <v>406203.65</v>
      </c>
      <c r="D63" s="8">
        <v>62052</v>
      </c>
      <c r="E63" s="9">
        <v>0.15276081344911599</v>
      </c>
      <c r="F63" s="10" t="s">
        <v>17</v>
      </c>
      <c r="G63" s="10" t="s">
        <v>17</v>
      </c>
    </row>
    <row r="64" spans="1:7" x14ac:dyDescent="0.25">
      <c r="A64" s="6" t="s">
        <v>80</v>
      </c>
      <c r="B64" s="7" t="s">
        <v>304</v>
      </c>
      <c r="C64" s="8">
        <v>402194.07</v>
      </c>
      <c r="D64" s="8">
        <v>75914.27</v>
      </c>
      <c r="E64" s="9">
        <v>0.18875034631912899</v>
      </c>
      <c r="F64" s="10" t="s">
        <v>17</v>
      </c>
      <c r="G64" s="10" t="s">
        <v>17</v>
      </c>
    </row>
    <row r="65" spans="1:7" x14ac:dyDescent="0.25">
      <c r="A65" s="6" t="s">
        <v>81</v>
      </c>
      <c r="B65" s="7" t="s">
        <v>209</v>
      </c>
      <c r="C65" s="8">
        <v>400401.03</v>
      </c>
      <c r="D65" s="8">
        <v>67929.81</v>
      </c>
      <c r="E65" s="9">
        <v>0.16965443370612701</v>
      </c>
      <c r="F65" s="10" t="s">
        <v>17</v>
      </c>
      <c r="G65" s="10" t="s">
        <v>17</v>
      </c>
    </row>
    <row r="66" spans="1:7" x14ac:dyDescent="0.25">
      <c r="A66" s="6" t="s">
        <v>82</v>
      </c>
      <c r="B66" s="7" t="s">
        <v>212</v>
      </c>
      <c r="C66" s="8">
        <v>396245.89</v>
      </c>
      <c r="D66" s="8">
        <v>75154.649999999994</v>
      </c>
      <c r="E66" s="9">
        <v>0.18966669912967399</v>
      </c>
      <c r="F66" s="10" t="s">
        <v>17</v>
      </c>
      <c r="G66" s="10" t="s">
        <v>17</v>
      </c>
    </row>
    <row r="67" spans="1:7" x14ac:dyDescent="0.25">
      <c r="A67" s="6" t="s">
        <v>83</v>
      </c>
      <c r="B67" s="7" t="s">
        <v>210</v>
      </c>
      <c r="C67" s="8">
        <v>375950.71100000001</v>
      </c>
      <c r="D67" s="8">
        <v>71528.41</v>
      </c>
      <c r="E67" s="9">
        <v>0.190260073746742</v>
      </c>
      <c r="F67" s="10" t="s">
        <v>17</v>
      </c>
      <c r="G67" s="10" t="s">
        <v>17</v>
      </c>
    </row>
    <row r="68" spans="1:7" x14ac:dyDescent="0.25">
      <c r="A68" s="6" t="s">
        <v>84</v>
      </c>
      <c r="B68" s="7" t="s">
        <v>218</v>
      </c>
      <c r="C68" s="8">
        <v>372664.39</v>
      </c>
      <c r="D68" s="8">
        <v>54267.68</v>
      </c>
      <c r="E68" s="9">
        <v>0.14562078228080799</v>
      </c>
      <c r="F68" s="10" t="s">
        <v>17</v>
      </c>
      <c r="G68" s="10" t="s">
        <v>17</v>
      </c>
    </row>
    <row r="69" spans="1:7" x14ac:dyDescent="0.25">
      <c r="A69" s="6" t="s">
        <v>85</v>
      </c>
      <c r="B69" s="7" t="s">
        <v>220</v>
      </c>
      <c r="C69" s="8">
        <v>357886.94</v>
      </c>
      <c r="D69" s="8">
        <v>64364.02</v>
      </c>
      <c r="E69" s="9">
        <v>0.179844562084328</v>
      </c>
      <c r="F69" s="10" t="s">
        <v>17</v>
      </c>
      <c r="G69" s="10" t="s">
        <v>17</v>
      </c>
    </row>
    <row r="70" spans="1:7" x14ac:dyDescent="0.25">
      <c r="A70" s="6" t="s">
        <v>86</v>
      </c>
      <c r="B70" s="7" t="s">
        <v>222</v>
      </c>
      <c r="C70" s="8">
        <v>355709.46</v>
      </c>
      <c r="D70" s="8">
        <v>41499.72</v>
      </c>
      <c r="E70" s="9">
        <v>0.116667462259789</v>
      </c>
      <c r="F70" s="10" t="s">
        <v>17</v>
      </c>
      <c r="G70" s="10" t="s">
        <v>17</v>
      </c>
    </row>
    <row r="71" spans="1:7" x14ac:dyDescent="0.25">
      <c r="A71" s="6" t="s">
        <v>87</v>
      </c>
      <c r="B71" s="7" t="s">
        <v>217</v>
      </c>
      <c r="C71" s="8">
        <v>340545.21</v>
      </c>
      <c r="D71" s="8">
        <v>51019.98</v>
      </c>
      <c r="E71" s="9">
        <v>0.14981852189317199</v>
      </c>
      <c r="F71" s="10" t="s">
        <v>15</v>
      </c>
      <c r="G71" s="11">
        <f>(D71 / F71)</f>
        <v>51.019980000000004</v>
      </c>
    </row>
    <row r="72" spans="1:7" x14ac:dyDescent="0.25">
      <c r="A72" s="6" t="s">
        <v>88</v>
      </c>
      <c r="B72" s="7" t="s">
        <v>226</v>
      </c>
      <c r="C72" s="8">
        <v>320614.40000000002</v>
      </c>
      <c r="D72" s="8">
        <v>20571.72</v>
      </c>
      <c r="E72" s="9">
        <v>6.4163431212072797E-2</v>
      </c>
      <c r="F72" s="10" t="s">
        <v>17</v>
      </c>
      <c r="G72" s="10" t="s">
        <v>17</v>
      </c>
    </row>
    <row r="73" spans="1:7" x14ac:dyDescent="0.25">
      <c r="A73" s="6" t="s">
        <v>89</v>
      </c>
      <c r="B73" s="7" t="s">
        <v>216</v>
      </c>
      <c r="C73" s="8">
        <v>318553.43</v>
      </c>
      <c r="D73" s="8">
        <v>167966.4</v>
      </c>
      <c r="E73" s="9">
        <v>0.52727857929515898</v>
      </c>
      <c r="F73" s="10" t="s">
        <v>17</v>
      </c>
      <c r="G73" s="10" t="s">
        <v>17</v>
      </c>
    </row>
    <row r="74" spans="1:7" x14ac:dyDescent="0.25">
      <c r="A74" s="6" t="s">
        <v>90</v>
      </c>
      <c r="B74" s="7" t="s">
        <v>227</v>
      </c>
      <c r="C74" s="8">
        <v>312993.93</v>
      </c>
      <c r="D74" s="8">
        <v>27703.24</v>
      </c>
      <c r="E74" s="9">
        <v>8.8510470474619102E-2</v>
      </c>
      <c r="F74" s="10" t="s">
        <v>17</v>
      </c>
      <c r="G74" s="10" t="s">
        <v>17</v>
      </c>
    </row>
    <row r="75" spans="1:7" x14ac:dyDescent="0.25">
      <c r="A75" s="6" t="s">
        <v>91</v>
      </c>
      <c r="B75" s="7" t="s">
        <v>303</v>
      </c>
      <c r="C75" s="8">
        <v>307634.96000000002</v>
      </c>
      <c r="D75" s="8">
        <v>17933.02</v>
      </c>
      <c r="E75" s="9">
        <v>5.8293179682829301E-2</v>
      </c>
      <c r="F75" s="10" t="s">
        <v>17</v>
      </c>
      <c r="G75" s="10" t="s">
        <v>17</v>
      </c>
    </row>
    <row r="76" spans="1:7" x14ac:dyDescent="0.25">
      <c r="A76" s="6" t="s">
        <v>92</v>
      </c>
      <c r="B76" s="7" t="s">
        <v>224</v>
      </c>
      <c r="C76" s="8">
        <v>302426.76</v>
      </c>
      <c r="D76" s="8">
        <v>59624.01</v>
      </c>
      <c r="E76" s="9">
        <v>0.19715189885974399</v>
      </c>
      <c r="F76" s="10" t="s">
        <v>17</v>
      </c>
      <c r="G76" s="10" t="s">
        <v>17</v>
      </c>
    </row>
    <row r="77" spans="1:7" x14ac:dyDescent="0.25">
      <c r="A77" s="6" t="s">
        <v>93</v>
      </c>
      <c r="B77" s="7" t="s">
        <v>228</v>
      </c>
      <c r="C77" s="8">
        <v>292818.48</v>
      </c>
      <c r="D77" s="8">
        <v>14642.02</v>
      </c>
      <c r="E77" s="9">
        <v>5.0003742933164598E-2</v>
      </c>
      <c r="F77" s="10" t="s">
        <v>17</v>
      </c>
      <c r="G77" s="10" t="s">
        <v>17</v>
      </c>
    </row>
    <row r="78" spans="1:7" x14ac:dyDescent="0.25">
      <c r="A78" s="6" t="s">
        <v>94</v>
      </c>
      <c r="B78" s="7" t="s">
        <v>229</v>
      </c>
      <c r="C78" s="8">
        <v>284306.84000000003</v>
      </c>
      <c r="D78" s="8">
        <v>28500.14</v>
      </c>
      <c r="E78" s="9">
        <v>0.100244299433668</v>
      </c>
      <c r="F78" s="10" t="s">
        <v>17</v>
      </c>
      <c r="G78" s="10" t="s">
        <v>17</v>
      </c>
    </row>
    <row r="79" spans="1:7" x14ac:dyDescent="0.25">
      <c r="A79" s="6" t="s">
        <v>95</v>
      </c>
      <c r="B79" s="7" t="s">
        <v>232</v>
      </c>
      <c r="C79" s="8">
        <v>277703.01</v>
      </c>
      <c r="D79" s="8">
        <v>13074.25</v>
      </c>
      <c r="E79" s="9">
        <v>4.7079972233646301E-2</v>
      </c>
      <c r="F79" s="10" t="s">
        <v>17</v>
      </c>
      <c r="G79" s="10" t="s">
        <v>17</v>
      </c>
    </row>
    <row r="80" spans="1:7" x14ac:dyDescent="0.25">
      <c r="A80" s="6" t="s">
        <v>96</v>
      </c>
      <c r="B80" s="7" t="s">
        <v>231</v>
      </c>
      <c r="C80" s="8">
        <v>275883.24</v>
      </c>
      <c r="D80" s="8">
        <v>22806.69</v>
      </c>
      <c r="E80" s="9">
        <v>8.2667906901484803E-2</v>
      </c>
      <c r="F80" s="10" t="s">
        <v>17</v>
      </c>
      <c r="G80" s="10" t="s">
        <v>17</v>
      </c>
    </row>
    <row r="81" spans="1:7" x14ac:dyDescent="0.25">
      <c r="A81" s="6" t="s">
        <v>97</v>
      </c>
      <c r="B81" s="7" t="s">
        <v>254</v>
      </c>
      <c r="C81" s="8">
        <v>273825.26</v>
      </c>
      <c r="D81" s="8">
        <v>43360.81</v>
      </c>
      <c r="E81" s="9">
        <v>0.15835211842764199</v>
      </c>
      <c r="F81" s="10" t="s">
        <v>17</v>
      </c>
      <c r="G81" s="10" t="s">
        <v>17</v>
      </c>
    </row>
    <row r="82" spans="1:7" x14ac:dyDescent="0.25">
      <c r="A82" s="6" t="s">
        <v>98</v>
      </c>
      <c r="B82" s="7" t="s">
        <v>234</v>
      </c>
      <c r="C82" s="8">
        <v>262592.8</v>
      </c>
      <c r="D82" s="8">
        <v>25526.33</v>
      </c>
      <c r="E82" s="9">
        <v>9.7208796280781495E-2</v>
      </c>
      <c r="F82" s="10" t="s">
        <v>17</v>
      </c>
      <c r="G82" s="10" t="s">
        <v>17</v>
      </c>
    </row>
    <row r="83" spans="1:7" x14ac:dyDescent="0.25">
      <c r="A83" s="6" t="s">
        <v>99</v>
      </c>
      <c r="B83" s="7" t="s">
        <v>233</v>
      </c>
      <c r="C83" s="8">
        <v>254762.4</v>
      </c>
      <c r="D83" s="8">
        <v>47247.97</v>
      </c>
      <c r="E83" s="9">
        <v>0.18545896097697301</v>
      </c>
      <c r="F83" s="10" t="s">
        <v>17</v>
      </c>
      <c r="G83" s="10" t="s">
        <v>17</v>
      </c>
    </row>
    <row r="84" spans="1:7" x14ac:dyDescent="0.25">
      <c r="A84" s="12" t="s">
        <v>100</v>
      </c>
      <c r="B84" s="13" t="s">
        <v>225</v>
      </c>
      <c r="C84" s="14">
        <v>248062.14</v>
      </c>
      <c r="D84" s="14">
        <v>47312.81</v>
      </c>
      <c r="E84" s="15">
        <v>0.190729669590047</v>
      </c>
      <c r="F84" s="16" t="s">
        <v>12</v>
      </c>
      <c r="G84" s="17">
        <f>(D84 / F84)</f>
        <v>10.513957777777778</v>
      </c>
    </row>
    <row r="85" spans="1:7" x14ac:dyDescent="0.25">
      <c r="A85" s="6" t="s">
        <v>101</v>
      </c>
      <c r="B85" s="7" t="s">
        <v>235</v>
      </c>
      <c r="C85" s="8">
        <v>237624.27</v>
      </c>
      <c r="D85" s="8">
        <v>25483.22</v>
      </c>
      <c r="E85" s="9">
        <v>0.107241655071681</v>
      </c>
      <c r="F85" s="10" t="s">
        <v>17</v>
      </c>
      <c r="G85" s="10" t="s">
        <v>17</v>
      </c>
    </row>
    <row r="86" spans="1:7" x14ac:dyDescent="0.25">
      <c r="A86" s="6" t="s">
        <v>102</v>
      </c>
      <c r="B86" s="7" t="s">
        <v>236</v>
      </c>
      <c r="C86" s="8">
        <v>224810.69</v>
      </c>
      <c r="D86" s="8">
        <v>73904.289999999994</v>
      </c>
      <c r="E86" s="9">
        <v>0.32874010573073698</v>
      </c>
      <c r="F86" s="10" t="s">
        <v>17</v>
      </c>
      <c r="G86" s="10" t="s">
        <v>17</v>
      </c>
    </row>
    <row r="87" spans="1:7" x14ac:dyDescent="0.25">
      <c r="A87" s="6" t="s">
        <v>103</v>
      </c>
      <c r="B87" s="7" t="s">
        <v>305</v>
      </c>
      <c r="C87" s="8">
        <v>212435.61</v>
      </c>
      <c r="D87" s="8">
        <v>158784.04999999999</v>
      </c>
      <c r="E87" s="9">
        <v>0.747445543616722</v>
      </c>
      <c r="F87" s="10" t="s">
        <v>17</v>
      </c>
      <c r="G87" s="10" t="s">
        <v>17</v>
      </c>
    </row>
    <row r="88" spans="1:7" x14ac:dyDescent="0.25">
      <c r="A88" s="12" t="s">
        <v>104</v>
      </c>
      <c r="B88" s="13" t="s">
        <v>230</v>
      </c>
      <c r="C88" s="14">
        <v>201564.55</v>
      </c>
      <c r="D88" s="14">
        <v>44063.53</v>
      </c>
      <c r="E88" s="15">
        <v>0.218607537883026</v>
      </c>
      <c r="F88" s="16" t="s">
        <v>292</v>
      </c>
      <c r="G88" s="17">
        <f>(D88 / F88)</f>
        <v>11.909062162162162</v>
      </c>
    </row>
    <row r="89" spans="1:7" x14ac:dyDescent="0.25">
      <c r="A89" s="6" t="s">
        <v>105</v>
      </c>
      <c r="B89" s="7" t="s">
        <v>238</v>
      </c>
      <c r="C89" s="8">
        <v>197589.27</v>
      </c>
      <c r="D89" s="8">
        <v>12274.85</v>
      </c>
      <c r="E89" s="9">
        <v>6.21230596175592E-2</v>
      </c>
      <c r="F89" s="10" t="s">
        <v>17</v>
      </c>
      <c r="G89" s="10" t="s">
        <v>17</v>
      </c>
    </row>
    <row r="90" spans="1:7" x14ac:dyDescent="0.25">
      <c r="A90" s="6" t="s">
        <v>106</v>
      </c>
      <c r="B90" s="7" t="s">
        <v>239</v>
      </c>
      <c r="C90" s="8">
        <v>192040.68</v>
      </c>
      <c r="D90" s="8">
        <v>159630.76999999999</v>
      </c>
      <c r="E90" s="9">
        <v>0.83123414268268603</v>
      </c>
      <c r="F90" s="10" t="s">
        <v>17</v>
      </c>
      <c r="G90" s="10" t="s">
        <v>17</v>
      </c>
    </row>
    <row r="91" spans="1:7" x14ac:dyDescent="0.25">
      <c r="A91" s="6" t="s">
        <v>107</v>
      </c>
      <c r="B91" s="7" t="s">
        <v>275</v>
      </c>
      <c r="C91" s="8">
        <v>181525.63</v>
      </c>
      <c r="D91" s="8">
        <v>20125.830000000002</v>
      </c>
      <c r="E91" s="9">
        <v>0.110870459449721</v>
      </c>
      <c r="F91" s="10" t="s">
        <v>17</v>
      </c>
      <c r="G91" s="10" t="s">
        <v>17</v>
      </c>
    </row>
    <row r="92" spans="1:7" x14ac:dyDescent="0.25">
      <c r="A92" s="6" t="s">
        <v>108</v>
      </c>
      <c r="B92" s="7" t="s">
        <v>240</v>
      </c>
      <c r="C92" s="8">
        <v>160819.85</v>
      </c>
      <c r="D92" s="8">
        <v>12123.28</v>
      </c>
      <c r="E92" s="9">
        <v>7.5384226511839195E-2</v>
      </c>
      <c r="F92" s="10" t="s">
        <v>17</v>
      </c>
      <c r="G92" s="10" t="s">
        <v>17</v>
      </c>
    </row>
    <row r="93" spans="1:7" x14ac:dyDescent="0.25">
      <c r="A93" s="6" t="s">
        <v>109</v>
      </c>
      <c r="B93" s="7" t="s">
        <v>276</v>
      </c>
      <c r="C93" s="8">
        <v>153177.46</v>
      </c>
      <c r="D93" s="8">
        <v>19500.740000000002</v>
      </c>
      <c r="E93" s="9">
        <v>0.12730815617389099</v>
      </c>
      <c r="F93" s="10" t="s">
        <v>17</v>
      </c>
      <c r="G93" s="10" t="s">
        <v>17</v>
      </c>
    </row>
    <row r="94" spans="1:7" x14ac:dyDescent="0.25">
      <c r="A94" s="6" t="s">
        <v>110</v>
      </c>
      <c r="B94" s="7" t="s">
        <v>307</v>
      </c>
      <c r="C94" s="8">
        <v>150954.79999999999</v>
      </c>
      <c r="D94" s="8">
        <v>89372.73</v>
      </c>
      <c r="E94" s="9">
        <v>0.59204960690219899</v>
      </c>
      <c r="F94" s="10" t="s">
        <v>17</v>
      </c>
      <c r="G94" s="10" t="s">
        <v>17</v>
      </c>
    </row>
    <row r="95" spans="1:7" x14ac:dyDescent="0.25">
      <c r="A95" s="6" t="s">
        <v>111</v>
      </c>
      <c r="B95" s="7" t="s">
        <v>243</v>
      </c>
      <c r="C95" s="8">
        <v>147906.88</v>
      </c>
      <c r="D95" s="8">
        <v>11068.27</v>
      </c>
      <c r="E95" s="9">
        <v>7.48326920289306E-2</v>
      </c>
      <c r="F95" s="10" t="s">
        <v>17</v>
      </c>
      <c r="G95" s="10" t="s">
        <v>17</v>
      </c>
    </row>
    <row r="96" spans="1:7" x14ac:dyDescent="0.25">
      <c r="A96" s="6" t="s">
        <v>112</v>
      </c>
      <c r="B96" s="7" t="s">
        <v>241</v>
      </c>
      <c r="C96" s="8">
        <v>143829.65</v>
      </c>
      <c r="D96" s="8">
        <v>18948.39</v>
      </c>
      <c r="E96" s="9">
        <v>0.13174189049337201</v>
      </c>
      <c r="F96" s="10" t="s">
        <v>16</v>
      </c>
      <c r="G96" s="11">
        <f>(D96 / F96)</f>
        <v>52.928463687150838</v>
      </c>
    </row>
    <row r="97" spans="1:7" x14ac:dyDescent="0.25">
      <c r="A97" s="6" t="s">
        <v>113</v>
      </c>
      <c r="B97" s="7" t="s">
        <v>244</v>
      </c>
      <c r="C97" s="8">
        <v>142375.07</v>
      </c>
      <c r="D97" s="8">
        <v>6028.75</v>
      </c>
      <c r="E97" s="9">
        <v>4.23441407263224E-2</v>
      </c>
      <c r="F97" s="10" t="s">
        <v>17</v>
      </c>
      <c r="G97" s="10" t="s">
        <v>17</v>
      </c>
    </row>
    <row r="98" spans="1:7" x14ac:dyDescent="0.25">
      <c r="A98" s="6" t="s">
        <v>114</v>
      </c>
      <c r="B98" s="7" t="s">
        <v>320</v>
      </c>
      <c r="C98" s="8">
        <v>139196.29</v>
      </c>
      <c r="D98" s="8">
        <v>139196.29</v>
      </c>
      <c r="E98" s="9">
        <v>1</v>
      </c>
      <c r="F98" s="10" t="s">
        <v>17</v>
      </c>
      <c r="G98" s="10" t="s">
        <v>17</v>
      </c>
    </row>
    <row r="99" spans="1:7" x14ac:dyDescent="0.25">
      <c r="A99" s="6" t="s">
        <v>115</v>
      </c>
      <c r="B99" s="7" t="s">
        <v>246</v>
      </c>
      <c r="C99" s="8">
        <v>134520.34</v>
      </c>
      <c r="D99" s="8">
        <v>9523.59</v>
      </c>
      <c r="E99" s="9">
        <v>7.0796654245744606E-2</v>
      </c>
      <c r="F99" s="10" t="s">
        <v>17</v>
      </c>
      <c r="G99" s="10" t="s">
        <v>17</v>
      </c>
    </row>
    <row r="100" spans="1:7" x14ac:dyDescent="0.25">
      <c r="A100" s="6" t="s">
        <v>116</v>
      </c>
      <c r="B100" s="7" t="s">
        <v>242</v>
      </c>
      <c r="C100" s="8">
        <v>131754.66</v>
      </c>
      <c r="D100" s="8">
        <v>48176.18</v>
      </c>
      <c r="E100" s="9">
        <v>0.36565067224187697</v>
      </c>
      <c r="F100" s="10" t="s">
        <v>17</v>
      </c>
      <c r="G100" s="10" t="s">
        <v>17</v>
      </c>
    </row>
    <row r="101" spans="1:7" x14ac:dyDescent="0.25">
      <c r="A101" s="6" t="s">
        <v>117</v>
      </c>
      <c r="B101" s="7" t="s">
        <v>245</v>
      </c>
      <c r="C101" s="8">
        <v>127036.42</v>
      </c>
      <c r="D101" s="8">
        <v>8442.65</v>
      </c>
      <c r="E101" s="9">
        <v>6.6458500640997301E-2</v>
      </c>
      <c r="F101" s="10" t="s">
        <v>17</v>
      </c>
      <c r="G101" s="10" t="s">
        <v>17</v>
      </c>
    </row>
    <row r="102" spans="1:7" x14ac:dyDescent="0.25">
      <c r="A102" s="6" t="s">
        <v>118</v>
      </c>
      <c r="B102" s="7" t="s">
        <v>247</v>
      </c>
      <c r="C102" s="8">
        <v>125467.2</v>
      </c>
      <c r="D102" s="8">
        <v>20512.46</v>
      </c>
      <c r="E102" s="9">
        <v>0.163488624915516</v>
      </c>
      <c r="F102" s="10" t="s">
        <v>17</v>
      </c>
      <c r="G102" s="10" t="s">
        <v>17</v>
      </c>
    </row>
    <row r="103" spans="1:7" x14ac:dyDescent="0.25">
      <c r="A103" s="6" t="s">
        <v>119</v>
      </c>
      <c r="B103" s="7" t="s">
        <v>306</v>
      </c>
      <c r="C103" s="8">
        <v>124712.45</v>
      </c>
      <c r="D103" s="8">
        <v>12099.64</v>
      </c>
      <c r="E103" s="9">
        <v>9.7020305510797003E-2</v>
      </c>
      <c r="F103" s="10" t="s">
        <v>17</v>
      </c>
      <c r="G103" s="10" t="s">
        <v>17</v>
      </c>
    </row>
    <row r="104" spans="1:7" x14ac:dyDescent="0.25">
      <c r="A104" s="6" t="s">
        <v>120</v>
      </c>
      <c r="B104" s="7" t="s">
        <v>248</v>
      </c>
      <c r="C104" s="8">
        <v>112373.34</v>
      </c>
      <c r="D104" s="8">
        <v>4190.75</v>
      </c>
      <c r="E104" s="9">
        <v>3.72930981672343E-2</v>
      </c>
      <c r="F104" s="10" t="s">
        <v>17</v>
      </c>
      <c r="G104" s="10" t="s">
        <v>17</v>
      </c>
    </row>
    <row r="105" spans="1:7" x14ac:dyDescent="0.25">
      <c r="A105" s="6" t="s">
        <v>121</v>
      </c>
      <c r="B105" s="7" t="s">
        <v>295</v>
      </c>
      <c r="C105" s="8">
        <v>109557.23</v>
      </c>
      <c r="D105" s="8">
        <v>12125.86</v>
      </c>
      <c r="E105" s="9">
        <v>0.110680600449646</v>
      </c>
      <c r="F105" s="10" t="s">
        <v>17</v>
      </c>
      <c r="G105" s="10" t="s">
        <v>17</v>
      </c>
    </row>
    <row r="106" spans="1:7" x14ac:dyDescent="0.25">
      <c r="A106" s="6" t="s">
        <v>122</v>
      </c>
      <c r="B106" s="7" t="s">
        <v>249</v>
      </c>
      <c r="C106" s="8">
        <v>100803.87</v>
      </c>
      <c r="D106" s="8">
        <v>13387.25</v>
      </c>
      <c r="E106" s="9">
        <v>0.132804921080907</v>
      </c>
      <c r="F106" s="10" t="s">
        <v>17</v>
      </c>
      <c r="G106" s="10" t="s">
        <v>17</v>
      </c>
    </row>
    <row r="107" spans="1:7" x14ac:dyDescent="0.25">
      <c r="A107" s="6" t="s">
        <v>123</v>
      </c>
      <c r="B107" s="7" t="s">
        <v>309</v>
      </c>
      <c r="C107" s="8">
        <v>96415.74</v>
      </c>
      <c r="D107" s="8">
        <v>12430.28</v>
      </c>
      <c r="E107" s="9">
        <v>0.12892376286278601</v>
      </c>
      <c r="F107" s="10" t="s">
        <v>17</v>
      </c>
      <c r="G107" s="10" t="s">
        <v>17</v>
      </c>
    </row>
    <row r="108" spans="1:7" x14ac:dyDescent="0.25">
      <c r="A108" s="6" t="s">
        <v>124</v>
      </c>
      <c r="B108" s="7" t="s">
        <v>317</v>
      </c>
      <c r="C108" s="8">
        <v>88794.14</v>
      </c>
      <c r="D108" s="8">
        <v>596.53</v>
      </c>
      <c r="E108" s="9">
        <v>6.7181235158085897E-3</v>
      </c>
      <c r="F108" s="10" t="s">
        <v>17</v>
      </c>
      <c r="G108" s="10" t="s">
        <v>17</v>
      </c>
    </row>
    <row r="109" spans="1:7" x14ac:dyDescent="0.25">
      <c r="A109" s="6" t="s">
        <v>125</v>
      </c>
      <c r="B109" s="7" t="s">
        <v>253</v>
      </c>
      <c r="C109" s="8">
        <v>82379.63</v>
      </c>
      <c r="D109" s="8">
        <v>6066.44</v>
      </c>
      <c r="E109" s="9">
        <v>7.3640049123794293E-2</v>
      </c>
      <c r="F109" s="10" t="s">
        <v>17</v>
      </c>
      <c r="G109" s="10" t="s">
        <v>17</v>
      </c>
    </row>
    <row r="110" spans="1:7" x14ac:dyDescent="0.25">
      <c r="A110" s="6" t="s">
        <v>126</v>
      </c>
      <c r="B110" s="7" t="s">
        <v>230</v>
      </c>
      <c r="C110" s="8">
        <v>72595.19</v>
      </c>
      <c r="D110" s="8">
        <v>8533.36</v>
      </c>
      <c r="E110" s="9">
        <v>0.117547181844968</v>
      </c>
      <c r="F110" s="10" t="s">
        <v>17</v>
      </c>
      <c r="G110" s="10" t="s">
        <v>17</v>
      </c>
    </row>
    <row r="111" spans="1:7" x14ac:dyDescent="0.25">
      <c r="A111" s="6" t="s">
        <v>127</v>
      </c>
      <c r="B111" s="7" t="s">
        <v>256</v>
      </c>
      <c r="C111" s="8">
        <v>71209.09</v>
      </c>
      <c r="D111" s="8">
        <v>4746.34</v>
      </c>
      <c r="E111" s="9">
        <v>6.6653569087879103E-2</v>
      </c>
      <c r="F111" s="10" t="s">
        <v>17</v>
      </c>
      <c r="G111" s="10" t="s">
        <v>17</v>
      </c>
    </row>
    <row r="112" spans="1:7" x14ac:dyDescent="0.25">
      <c r="A112" s="6" t="s">
        <v>128</v>
      </c>
      <c r="B112" s="7" t="s">
        <v>321</v>
      </c>
      <c r="C112" s="8">
        <v>70878.259999999995</v>
      </c>
      <c r="D112" s="8">
        <v>42678.47</v>
      </c>
      <c r="E112" s="9">
        <v>0.60213766534336499</v>
      </c>
      <c r="F112" s="10" t="s">
        <v>17</v>
      </c>
      <c r="G112" s="10" t="s">
        <v>17</v>
      </c>
    </row>
    <row r="113" spans="1:7" x14ac:dyDescent="0.25">
      <c r="A113" s="6" t="s">
        <v>129</v>
      </c>
      <c r="B113" s="7" t="s">
        <v>255</v>
      </c>
      <c r="C113" s="8">
        <v>70832.45</v>
      </c>
      <c r="D113" s="8">
        <v>522.25</v>
      </c>
      <c r="E113" s="9">
        <v>7.3730331225307097E-3</v>
      </c>
      <c r="F113" s="10" t="s">
        <v>17</v>
      </c>
      <c r="G113" s="10" t="s">
        <v>17</v>
      </c>
    </row>
    <row r="114" spans="1:7" x14ac:dyDescent="0.25">
      <c r="A114" s="6" t="s">
        <v>130</v>
      </c>
      <c r="B114" s="7" t="s">
        <v>258</v>
      </c>
      <c r="C114" s="8">
        <v>65941.179999999993</v>
      </c>
      <c r="D114" s="8">
        <v>4350.59</v>
      </c>
      <c r="E114" s="9">
        <v>6.5976829653336497E-2</v>
      </c>
      <c r="F114" s="10" t="s">
        <v>17</v>
      </c>
      <c r="G114" s="10" t="s">
        <v>17</v>
      </c>
    </row>
    <row r="115" spans="1:7" x14ac:dyDescent="0.25">
      <c r="A115" s="6" t="s">
        <v>131</v>
      </c>
      <c r="B115" s="7" t="s">
        <v>257</v>
      </c>
      <c r="C115" s="8">
        <v>55257.67</v>
      </c>
      <c r="D115" s="8">
        <v>1632.8</v>
      </c>
      <c r="E115" s="9">
        <v>2.95488391023364E-2</v>
      </c>
      <c r="F115" s="10" t="s">
        <v>17</v>
      </c>
      <c r="G115" s="10" t="s">
        <v>17</v>
      </c>
    </row>
    <row r="116" spans="1:7" x14ac:dyDescent="0.25">
      <c r="A116" s="6" t="s">
        <v>132</v>
      </c>
      <c r="B116" s="7" t="s">
        <v>259</v>
      </c>
      <c r="C116" s="8">
        <v>53233.69</v>
      </c>
      <c r="D116" s="8">
        <v>3779.41</v>
      </c>
      <c r="E116" s="9">
        <v>7.0996581300300607E-2</v>
      </c>
      <c r="F116" s="10" t="s">
        <v>17</v>
      </c>
      <c r="G116" s="10" t="s">
        <v>17</v>
      </c>
    </row>
    <row r="117" spans="1:7" x14ac:dyDescent="0.25">
      <c r="A117" s="6" t="s">
        <v>133</v>
      </c>
      <c r="B117" s="7" t="s">
        <v>262</v>
      </c>
      <c r="C117" s="8">
        <v>50523.63</v>
      </c>
      <c r="D117" s="8">
        <v>6356.93</v>
      </c>
      <c r="E117" s="9">
        <v>0.125820927752024</v>
      </c>
      <c r="F117" s="10" t="s">
        <v>17</v>
      </c>
      <c r="G117" s="10" t="s">
        <v>17</v>
      </c>
    </row>
    <row r="118" spans="1:7" x14ac:dyDescent="0.25">
      <c r="A118" s="6" t="s">
        <v>134</v>
      </c>
      <c r="B118" s="7" t="s">
        <v>291</v>
      </c>
      <c r="C118" s="8">
        <v>48717.1</v>
      </c>
      <c r="D118" s="8">
        <v>7051.89</v>
      </c>
      <c r="E118" s="9">
        <v>0.14475184278210301</v>
      </c>
      <c r="F118" s="10" t="s">
        <v>17</v>
      </c>
      <c r="G118" s="10" t="s">
        <v>17</v>
      </c>
    </row>
    <row r="119" spans="1:7" x14ac:dyDescent="0.25">
      <c r="A119" s="6" t="s">
        <v>135</v>
      </c>
      <c r="B119" s="7" t="s">
        <v>329</v>
      </c>
      <c r="C119" s="8">
        <v>42295.93</v>
      </c>
      <c r="D119" s="8">
        <v>3967.33</v>
      </c>
      <c r="E119" s="9">
        <v>9.3799332465322294E-2</v>
      </c>
      <c r="F119" s="10" t="s">
        <v>17</v>
      </c>
      <c r="G119" s="10" t="s">
        <v>17</v>
      </c>
    </row>
    <row r="120" spans="1:7" x14ac:dyDescent="0.25">
      <c r="A120" s="6" t="s">
        <v>136</v>
      </c>
      <c r="B120" s="7" t="s">
        <v>260</v>
      </c>
      <c r="C120" s="8">
        <v>41183.49</v>
      </c>
      <c r="D120" s="8">
        <v>374.28</v>
      </c>
      <c r="E120" s="9">
        <v>9.0881078801238104E-3</v>
      </c>
      <c r="F120" s="10" t="s">
        <v>17</v>
      </c>
      <c r="G120" s="10" t="s">
        <v>17</v>
      </c>
    </row>
    <row r="121" spans="1:7" x14ac:dyDescent="0.25">
      <c r="A121" s="6" t="s">
        <v>137</v>
      </c>
      <c r="B121" s="7" t="s">
        <v>283</v>
      </c>
      <c r="C121" s="8">
        <v>40630.76</v>
      </c>
      <c r="D121" s="8">
        <v>509.96</v>
      </c>
      <c r="E121" s="9">
        <v>1.25510819881292E-2</v>
      </c>
      <c r="F121" s="10" t="s">
        <v>17</v>
      </c>
      <c r="G121" s="10" t="s">
        <v>17</v>
      </c>
    </row>
    <row r="122" spans="1:7" x14ac:dyDescent="0.25">
      <c r="A122" s="6" t="s">
        <v>138</v>
      </c>
      <c r="B122" s="7" t="s">
        <v>310</v>
      </c>
      <c r="C122" s="8">
        <v>40165.54</v>
      </c>
      <c r="D122" s="8">
        <v>8076.46</v>
      </c>
      <c r="E122" s="9">
        <v>0.201079333179636</v>
      </c>
      <c r="F122" s="10" t="s">
        <v>17</v>
      </c>
      <c r="G122" s="10" t="s">
        <v>17</v>
      </c>
    </row>
    <row r="123" spans="1:7" x14ac:dyDescent="0.25">
      <c r="A123" s="6" t="s">
        <v>139</v>
      </c>
      <c r="B123" s="7" t="s">
        <v>263</v>
      </c>
      <c r="C123" s="8">
        <v>36599.9</v>
      </c>
      <c r="D123" s="8">
        <v>1037.97</v>
      </c>
      <c r="E123" s="9">
        <v>2.8359913551676399E-2</v>
      </c>
      <c r="F123" s="10" t="s">
        <v>17</v>
      </c>
      <c r="G123" s="10" t="s">
        <v>17</v>
      </c>
    </row>
    <row r="124" spans="1:7" x14ac:dyDescent="0.25">
      <c r="A124" s="6" t="s">
        <v>140</v>
      </c>
      <c r="B124" s="7" t="s">
        <v>251</v>
      </c>
      <c r="C124" s="8">
        <v>35546.06</v>
      </c>
      <c r="D124" s="8">
        <v>1965.27</v>
      </c>
      <c r="E124" s="9">
        <v>5.5287984097253003E-2</v>
      </c>
      <c r="F124" s="10" t="s">
        <v>17</v>
      </c>
      <c r="G124" s="10" t="s">
        <v>17</v>
      </c>
    </row>
    <row r="125" spans="1:7" x14ac:dyDescent="0.25">
      <c r="A125" s="6" t="s">
        <v>141</v>
      </c>
      <c r="B125" s="7" t="s">
        <v>266</v>
      </c>
      <c r="C125" s="8">
        <v>34131.599999999999</v>
      </c>
      <c r="D125" s="8">
        <v>11665.78</v>
      </c>
      <c r="E125" s="9">
        <v>0.34178825487231801</v>
      </c>
      <c r="F125" s="10" t="s">
        <v>17</v>
      </c>
      <c r="G125" s="10" t="s">
        <v>17</v>
      </c>
    </row>
    <row r="126" spans="1:7" x14ac:dyDescent="0.25">
      <c r="A126" s="6" t="s">
        <v>142</v>
      </c>
      <c r="B126" s="7" t="s">
        <v>265</v>
      </c>
      <c r="C126" s="8">
        <v>31346.7</v>
      </c>
      <c r="D126" s="8">
        <v>4953.16</v>
      </c>
      <c r="E126" s="9">
        <v>0.15801216714997099</v>
      </c>
      <c r="F126" s="10" t="s">
        <v>17</v>
      </c>
      <c r="G126" s="10" t="s">
        <v>17</v>
      </c>
    </row>
    <row r="127" spans="1:7" x14ac:dyDescent="0.25">
      <c r="A127" s="6" t="s">
        <v>143</v>
      </c>
      <c r="B127" s="7" t="s">
        <v>264</v>
      </c>
      <c r="C127" s="8">
        <v>30485.29</v>
      </c>
      <c r="D127" s="8">
        <v>1334.88</v>
      </c>
      <c r="E127" s="9">
        <v>4.3787675957814402E-2</v>
      </c>
      <c r="F127" s="10" t="s">
        <v>17</v>
      </c>
      <c r="G127" s="10" t="s">
        <v>17</v>
      </c>
    </row>
    <row r="128" spans="1:7" x14ac:dyDescent="0.25">
      <c r="A128" s="6" t="s">
        <v>144</v>
      </c>
      <c r="B128" s="7" t="s">
        <v>311</v>
      </c>
      <c r="C128" s="8">
        <v>27968.79</v>
      </c>
      <c r="D128" s="8">
        <v>2404.2800000000002</v>
      </c>
      <c r="E128" s="9">
        <v>8.5962960857441498E-2</v>
      </c>
      <c r="F128" s="10" t="s">
        <v>17</v>
      </c>
      <c r="G128" s="10" t="s">
        <v>17</v>
      </c>
    </row>
    <row r="129" spans="1:7" x14ac:dyDescent="0.25">
      <c r="A129" s="6" t="s">
        <v>145</v>
      </c>
      <c r="B129" s="7" t="s">
        <v>268</v>
      </c>
      <c r="C129" s="8">
        <v>17123.41</v>
      </c>
      <c r="D129" s="8">
        <v>889.39</v>
      </c>
      <c r="E129" s="9">
        <v>5.1940004940604703E-2</v>
      </c>
      <c r="F129" s="10" t="s">
        <v>17</v>
      </c>
      <c r="G129" s="10" t="s">
        <v>17</v>
      </c>
    </row>
    <row r="130" spans="1:7" x14ac:dyDescent="0.25">
      <c r="A130" s="6" t="s">
        <v>146</v>
      </c>
      <c r="B130" s="7" t="s">
        <v>267</v>
      </c>
      <c r="C130" s="8">
        <v>17093</v>
      </c>
      <c r="D130" s="8">
        <v>1257.6300000000001</v>
      </c>
      <c r="E130" s="9">
        <v>7.3575732756098994E-2</v>
      </c>
      <c r="F130" s="10" t="s">
        <v>17</v>
      </c>
      <c r="G130" s="10" t="s">
        <v>17</v>
      </c>
    </row>
    <row r="131" spans="1:7" x14ac:dyDescent="0.25">
      <c r="A131" s="6" t="s">
        <v>147</v>
      </c>
      <c r="B131" s="7" t="s">
        <v>269</v>
      </c>
      <c r="C131" s="8">
        <v>14633.36</v>
      </c>
      <c r="D131" s="8">
        <v>1507.12</v>
      </c>
      <c r="E131" s="9">
        <v>0.102992067440424</v>
      </c>
      <c r="F131" s="10" t="s">
        <v>17</v>
      </c>
      <c r="G131" s="10" t="s">
        <v>17</v>
      </c>
    </row>
    <row r="132" spans="1:7" x14ac:dyDescent="0.25">
      <c r="A132" s="6" t="s">
        <v>148</v>
      </c>
      <c r="B132" s="7" t="s">
        <v>270</v>
      </c>
      <c r="C132" s="8">
        <v>14232.07</v>
      </c>
      <c r="D132" s="8">
        <v>109.4</v>
      </c>
      <c r="E132" s="9">
        <v>7.6868649465608296E-3</v>
      </c>
      <c r="F132" s="10" t="s">
        <v>17</v>
      </c>
      <c r="G132" s="10" t="s">
        <v>17</v>
      </c>
    </row>
    <row r="133" spans="1:7" x14ac:dyDescent="0.25">
      <c r="A133" s="6" t="s">
        <v>149</v>
      </c>
      <c r="B133" s="7" t="s">
        <v>277</v>
      </c>
      <c r="C133" s="8">
        <v>13640.93</v>
      </c>
      <c r="D133" s="8">
        <v>789.63</v>
      </c>
      <c r="E133" s="9">
        <v>5.7886815635004397E-2</v>
      </c>
      <c r="F133" s="10" t="s">
        <v>17</v>
      </c>
      <c r="G133" s="10" t="s">
        <v>17</v>
      </c>
    </row>
    <row r="134" spans="1:7" x14ac:dyDescent="0.25">
      <c r="A134" s="6" t="s">
        <v>150</v>
      </c>
      <c r="B134" s="7" t="s">
        <v>286</v>
      </c>
      <c r="C134" s="8">
        <v>7751.94</v>
      </c>
      <c r="D134" s="8">
        <v>81.739999999999995</v>
      </c>
      <c r="E134" s="9">
        <v>1.05444572584411E-2</v>
      </c>
      <c r="F134" s="10" t="s">
        <v>17</v>
      </c>
      <c r="G134" s="10" t="s">
        <v>17</v>
      </c>
    </row>
    <row r="135" spans="1:7" x14ac:dyDescent="0.25">
      <c r="A135" s="6" t="s">
        <v>151</v>
      </c>
      <c r="B135" s="7" t="s">
        <v>322</v>
      </c>
      <c r="C135" s="8">
        <v>3719.33</v>
      </c>
      <c r="D135" s="8">
        <v>37.25</v>
      </c>
      <c r="E135" s="9">
        <v>1.00152446811657E-2</v>
      </c>
      <c r="F135" s="10" t="s">
        <v>17</v>
      </c>
      <c r="G135" s="10" t="s">
        <v>17</v>
      </c>
    </row>
    <row r="136" spans="1:7" x14ac:dyDescent="0.25">
      <c r="A136" s="6" t="s">
        <v>152</v>
      </c>
      <c r="B136" s="7" t="s">
        <v>312</v>
      </c>
      <c r="C136" s="8">
        <v>2427.04</v>
      </c>
      <c r="D136" s="8">
        <v>52.68</v>
      </c>
      <c r="E136" s="9">
        <v>2.1705451908497601E-2</v>
      </c>
      <c r="F136" s="10" t="s">
        <v>17</v>
      </c>
      <c r="G136" s="10" t="s">
        <v>17</v>
      </c>
    </row>
    <row r="137" spans="1:7" x14ac:dyDescent="0.25">
      <c r="A137" s="6" t="s">
        <v>153</v>
      </c>
      <c r="B137" s="7" t="s">
        <v>313</v>
      </c>
      <c r="C137" s="8">
        <v>1866.54</v>
      </c>
      <c r="D137" s="8">
        <v>282.60000000000002</v>
      </c>
      <c r="E137" s="9">
        <v>0.15140313092674099</v>
      </c>
      <c r="F137" s="10" t="s">
        <v>17</v>
      </c>
      <c r="G137" s="10" t="s">
        <v>17</v>
      </c>
    </row>
    <row r="138" spans="1:7" x14ac:dyDescent="0.25">
      <c r="A138" s="6" t="s">
        <v>154</v>
      </c>
      <c r="B138" s="7" t="s">
        <v>323</v>
      </c>
      <c r="C138" s="8">
        <v>1000.02</v>
      </c>
      <c r="D138" s="8">
        <v>1000.02</v>
      </c>
      <c r="E138" s="9">
        <v>1</v>
      </c>
      <c r="F138" s="10" t="s">
        <v>17</v>
      </c>
      <c r="G138" s="10" t="s">
        <v>17</v>
      </c>
    </row>
    <row r="139" spans="1:7" x14ac:dyDescent="0.25">
      <c r="A139" s="6" t="s">
        <v>155</v>
      </c>
      <c r="B139" s="7" t="s">
        <v>324</v>
      </c>
      <c r="C139" s="8">
        <v>481.52</v>
      </c>
      <c r="D139" s="8">
        <v>81.819999999999993</v>
      </c>
      <c r="E139" s="9">
        <v>0.16992025253364301</v>
      </c>
      <c r="F139" s="10" t="s">
        <v>17</v>
      </c>
      <c r="G139" s="10" t="s">
        <v>17</v>
      </c>
    </row>
    <row r="140" spans="1:7" x14ac:dyDescent="0.25">
      <c r="A140" s="6" t="s">
        <v>156</v>
      </c>
      <c r="B140" s="7" t="s">
        <v>318</v>
      </c>
      <c r="C140" s="8">
        <v>299.95</v>
      </c>
      <c r="D140" s="8">
        <v>299.95</v>
      </c>
      <c r="E140" s="9">
        <v>1</v>
      </c>
      <c r="F140" s="10" t="s">
        <v>17</v>
      </c>
      <c r="G140" s="10" t="s">
        <v>17</v>
      </c>
    </row>
    <row r="141" spans="1:7" x14ac:dyDescent="0.25">
      <c r="A141" s="6" t="s">
        <v>328</v>
      </c>
      <c r="B141" s="7" t="s">
        <v>319</v>
      </c>
      <c r="C141" s="8">
        <v>0</v>
      </c>
      <c r="D141" s="8">
        <v>0</v>
      </c>
      <c r="E141" s="9">
        <v>0</v>
      </c>
      <c r="F141" s="10" t="s">
        <v>17</v>
      </c>
      <c r="G141" s="10" t="s">
        <v>17</v>
      </c>
    </row>
    <row r="142" spans="1:7" x14ac:dyDescent="0.25">
      <c r="C142" s="8"/>
      <c r="D142" s="8"/>
      <c r="E142" s="9"/>
    </row>
    <row r="143" spans="1:7" x14ac:dyDescent="0.25">
      <c r="C143" s="8"/>
      <c r="D143" s="8"/>
      <c r="E143" s="9"/>
    </row>
    <row r="144" spans="1:7" x14ac:dyDescent="0.25">
      <c r="C144" s="8"/>
      <c r="D144" s="8"/>
      <c r="E144" s="9"/>
    </row>
    <row r="145" spans="1:7" x14ac:dyDescent="0.25">
      <c r="C145" s="8"/>
      <c r="D145" s="8" t="s">
        <v>298</v>
      </c>
      <c r="E145" s="9"/>
    </row>
    <row r="146" spans="1:7" ht="31.5" x14ac:dyDescent="0.25">
      <c r="A146" s="18"/>
      <c r="B146" s="19" t="s">
        <v>157</v>
      </c>
      <c r="C146" s="3" t="s">
        <v>158</v>
      </c>
      <c r="D146" s="3" t="s">
        <v>159</v>
      </c>
      <c r="E146" s="4" t="s">
        <v>160</v>
      </c>
      <c r="F146" s="5" t="s">
        <v>161</v>
      </c>
      <c r="G146" s="5" t="s">
        <v>162</v>
      </c>
    </row>
    <row r="147" spans="1:7" x14ac:dyDescent="0.25">
      <c r="A147" s="6" t="s">
        <v>18</v>
      </c>
      <c r="B147" s="7" t="s">
        <v>315</v>
      </c>
      <c r="C147" s="8">
        <v>3000329.6</v>
      </c>
      <c r="D147" s="8">
        <v>3000329.6</v>
      </c>
      <c r="E147" s="9">
        <v>1</v>
      </c>
      <c r="F147" s="10" t="s">
        <v>17</v>
      </c>
      <c r="G147" s="10" t="s">
        <v>17</v>
      </c>
    </row>
    <row r="148" spans="1:7" x14ac:dyDescent="0.25">
      <c r="A148" s="6" t="s">
        <v>19</v>
      </c>
      <c r="B148" s="7" t="s">
        <v>183</v>
      </c>
      <c r="C148" s="8">
        <v>1263031.06</v>
      </c>
      <c r="D148" s="8">
        <v>202810.64</v>
      </c>
      <c r="E148" s="9">
        <v>0.160574546757385</v>
      </c>
      <c r="F148" s="10" t="s">
        <v>17</v>
      </c>
      <c r="G148" s="10" t="s">
        <v>17</v>
      </c>
    </row>
    <row r="149" spans="1:7" x14ac:dyDescent="0.25">
      <c r="A149" s="6" t="s">
        <v>20</v>
      </c>
      <c r="B149" s="7" t="s">
        <v>165</v>
      </c>
      <c r="C149" s="8">
        <v>1126862.7</v>
      </c>
      <c r="D149" s="8">
        <v>1117478.24</v>
      </c>
      <c r="E149" s="9">
        <v>0.991672046647742</v>
      </c>
      <c r="F149" s="10" t="s">
        <v>17</v>
      </c>
      <c r="G149" s="10" t="s">
        <v>17</v>
      </c>
    </row>
    <row r="150" spans="1:7" x14ac:dyDescent="0.25">
      <c r="A150" s="6" t="s">
        <v>21</v>
      </c>
      <c r="B150" s="7" t="s">
        <v>244</v>
      </c>
      <c r="C150" s="8">
        <v>970743.86</v>
      </c>
      <c r="D150" s="8">
        <v>751.15</v>
      </c>
      <c r="E150" s="9">
        <v>7.7378805156697104E-4</v>
      </c>
      <c r="F150" s="10" t="s">
        <v>17</v>
      </c>
      <c r="G150" s="10" t="s">
        <v>17</v>
      </c>
    </row>
    <row r="151" spans="1:7" x14ac:dyDescent="0.25">
      <c r="A151" s="6" t="s">
        <v>22</v>
      </c>
      <c r="B151" s="7" t="s">
        <v>278</v>
      </c>
      <c r="C151" s="8">
        <v>700027.74</v>
      </c>
      <c r="D151" s="8">
        <v>291853.13</v>
      </c>
      <c r="E151" s="9">
        <v>0.41691652105100901</v>
      </c>
      <c r="F151" s="10" t="s">
        <v>17</v>
      </c>
      <c r="G151" s="10" t="s">
        <v>17</v>
      </c>
    </row>
    <row r="152" spans="1:7" x14ac:dyDescent="0.25">
      <c r="A152" s="6" t="s">
        <v>23</v>
      </c>
      <c r="B152" s="7" t="s">
        <v>325</v>
      </c>
      <c r="C152" s="8">
        <v>589922</v>
      </c>
      <c r="D152" s="8">
        <v>589922</v>
      </c>
      <c r="E152" s="9">
        <v>1</v>
      </c>
      <c r="F152" s="10" t="s">
        <v>17</v>
      </c>
      <c r="G152" s="10" t="s">
        <v>17</v>
      </c>
    </row>
    <row r="153" spans="1:7" x14ac:dyDescent="0.25">
      <c r="A153" s="6" t="s">
        <v>24</v>
      </c>
      <c r="B153" s="7" t="s">
        <v>182</v>
      </c>
      <c r="C153" s="8">
        <v>516673.13</v>
      </c>
      <c r="D153" s="8">
        <v>516673.13</v>
      </c>
      <c r="E153" s="9">
        <v>1</v>
      </c>
      <c r="F153" s="10" t="s">
        <v>17</v>
      </c>
      <c r="G153" s="10" t="s">
        <v>17</v>
      </c>
    </row>
    <row r="154" spans="1:7" x14ac:dyDescent="0.25">
      <c r="A154" s="6" t="s">
        <v>25</v>
      </c>
      <c r="B154" s="7" t="s">
        <v>189</v>
      </c>
      <c r="C154" s="8">
        <v>293540.15999999997</v>
      </c>
      <c r="D154" s="8">
        <v>293540.15999999997</v>
      </c>
      <c r="E154" s="9">
        <v>1</v>
      </c>
      <c r="F154" s="10" t="s">
        <v>17</v>
      </c>
      <c r="G154" s="10" t="s">
        <v>17</v>
      </c>
    </row>
    <row r="155" spans="1:7" x14ac:dyDescent="0.25">
      <c r="A155" s="6" t="s">
        <v>26</v>
      </c>
      <c r="B155" s="7" t="s">
        <v>280</v>
      </c>
      <c r="C155" s="8">
        <v>211524.7</v>
      </c>
      <c r="D155" s="8">
        <v>887.73</v>
      </c>
      <c r="E155" s="9">
        <v>4.1968148400636004E-3</v>
      </c>
      <c r="F155" s="10" t="s">
        <v>17</v>
      </c>
      <c r="G155" s="10" t="s">
        <v>17</v>
      </c>
    </row>
    <row r="156" spans="1:7" x14ac:dyDescent="0.25">
      <c r="A156" s="6" t="s">
        <v>27</v>
      </c>
      <c r="B156" s="7" t="s">
        <v>173</v>
      </c>
      <c r="C156" s="8">
        <v>209064.58</v>
      </c>
      <c r="D156" s="8">
        <v>28541.66</v>
      </c>
      <c r="E156" s="9">
        <v>0.136520782238675</v>
      </c>
      <c r="F156" s="10" t="s">
        <v>17</v>
      </c>
      <c r="G156" s="10" t="s">
        <v>17</v>
      </c>
    </row>
    <row r="157" spans="1:7" x14ac:dyDescent="0.25">
      <c r="A157" s="6" t="s">
        <v>28</v>
      </c>
      <c r="B157" s="7" t="s">
        <v>205</v>
      </c>
      <c r="C157" s="8">
        <v>205674.75</v>
      </c>
      <c r="D157" s="8">
        <v>23301.82</v>
      </c>
      <c r="E157" s="9">
        <v>0.113294509899732</v>
      </c>
      <c r="F157" s="10" t="s">
        <v>17</v>
      </c>
      <c r="G157" s="10" t="s">
        <v>17</v>
      </c>
    </row>
    <row r="158" spans="1:7" x14ac:dyDescent="0.25">
      <c r="A158" s="6" t="s">
        <v>29</v>
      </c>
      <c r="B158" s="7" t="s">
        <v>186</v>
      </c>
      <c r="C158" s="8">
        <v>202257.15</v>
      </c>
      <c r="D158" s="8">
        <v>202257.15</v>
      </c>
      <c r="E158" s="9">
        <v>1</v>
      </c>
      <c r="F158" s="10" t="s">
        <v>17</v>
      </c>
      <c r="G158" s="10" t="s">
        <v>17</v>
      </c>
    </row>
    <row r="159" spans="1:7" x14ac:dyDescent="0.25">
      <c r="A159" s="6" t="s">
        <v>30</v>
      </c>
      <c r="B159" s="7" t="s">
        <v>224</v>
      </c>
      <c r="C159" s="8">
        <v>201401.3</v>
      </c>
      <c r="D159" s="8">
        <v>201401.3</v>
      </c>
      <c r="E159" s="9">
        <v>1</v>
      </c>
      <c r="F159" s="10" t="s">
        <v>17</v>
      </c>
      <c r="G159" s="10" t="s">
        <v>17</v>
      </c>
    </row>
    <row r="160" spans="1:7" x14ac:dyDescent="0.25">
      <c r="A160" s="6" t="s">
        <v>31</v>
      </c>
      <c r="B160" s="7" t="s">
        <v>195</v>
      </c>
      <c r="C160" s="8">
        <v>175210.73</v>
      </c>
      <c r="D160" s="8">
        <v>75860.490000000005</v>
      </c>
      <c r="E160" s="9">
        <v>0.43296714761704402</v>
      </c>
      <c r="F160" s="10" t="s">
        <v>17</v>
      </c>
      <c r="G160" s="10" t="s">
        <v>17</v>
      </c>
    </row>
    <row r="161" spans="1:7" x14ac:dyDescent="0.25">
      <c r="A161" s="6" t="s">
        <v>32</v>
      </c>
      <c r="B161" s="7" t="s">
        <v>180</v>
      </c>
      <c r="C161" s="8">
        <v>155794.23999999999</v>
      </c>
      <c r="D161" s="8">
        <v>1251.25</v>
      </c>
      <c r="E161" s="9">
        <v>8.0314265790571004E-3</v>
      </c>
      <c r="F161" s="10" t="s">
        <v>17</v>
      </c>
      <c r="G161" s="10" t="s">
        <v>17</v>
      </c>
    </row>
    <row r="162" spans="1:7" x14ac:dyDescent="0.25">
      <c r="A162" s="6" t="s">
        <v>33</v>
      </c>
      <c r="B162" s="7" t="s">
        <v>163</v>
      </c>
      <c r="C162" s="8">
        <v>149435.39000000001</v>
      </c>
      <c r="D162" s="8">
        <v>50.14</v>
      </c>
      <c r="E162" s="9">
        <v>3.3552962253452799E-4</v>
      </c>
      <c r="F162" s="10" t="s">
        <v>17</v>
      </c>
      <c r="G162" s="10" t="s">
        <v>17</v>
      </c>
    </row>
    <row r="163" spans="1:7" x14ac:dyDescent="0.25">
      <c r="A163" s="6" t="s">
        <v>34</v>
      </c>
      <c r="B163" s="7" t="s">
        <v>211</v>
      </c>
      <c r="C163" s="8">
        <v>143458.28</v>
      </c>
      <c r="D163" s="8">
        <v>12166.11</v>
      </c>
      <c r="E163" s="9">
        <v>8.4805910122441194E-2</v>
      </c>
      <c r="F163" s="10" t="s">
        <v>17</v>
      </c>
      <c r="G163" s="10" t="s">
        <v>17</v>
      </c>
    </row>
    <row r="164" spans="1:7" x14ac:dyDescent="0.25">
      <c r="A164" s="6" t="s">
        <v>35</v>
      </c>
      <c r="B164" s="7" t="s">
        <v>254</v>
      </c>
      <c r="C164" s="8">
        <v>138033.45000000001</v>
      </c>
      <c r="D164" s="8">
        <v>15448.8</v>
      </c>
      <c r="E164" s="9">
        <v>0.11192069748311</v>
      </c>
      <c r="F164" s="10" t="s">
        <v>17</v>
      </c>
      <c r="G164" s="10" t="s">
        <v>17</v>
      </c>
    </row>
    <row r="165" spans="1:7" x14ac:dyDescent="0.25">
      <c r="A165" s="6" t="s">
        <v>36</v>
      </c>
      <c r="B165" s="7" t="s">
        <v>279</v>
      </c>
      <c r="C165" s="8">
        <v>134908.72</v>
      </c>
      <c r="D165" s="8">
        <v>134908.72</v>
      </c>
      <c r="E165" s="9">
        <v>1</v>
      </c>
      <c r="F165" s="10" t="s">
        <v>17</v>
      </c>
      <c r="G165" s="10" t="s">
        <v>17</v>
      </c>
    </row>
    <row r="166" spans="1:7" x14ac:dyDescent="0.25">
      <c r="A166" s="6" t="s">
        <v>37</v>
      </c>
      <c r="B166" s="7" t="s">
        <v>187</v>
      </c>
      <c r="C166" s="8">
        <v>131167.23000000001</v>
      </c>
      <c r="D166" s="8">
        <v>131167.23000000001</v>
      </c>
      <c r="E166" s="9">
        <v>1</v>
      </c>
      <c r="F166" s="10" t="s">
        <v>17</v>
      </c>
      <c r="G166" s="10" t="s">
        <v>17</v>
      </c>
    </row>
    <row r="167" spans="1:7" x14ac:dyDescent="0.25">
      <c r="A167" s="6" t="s">
        <v>38</v>
      </c>
      <c r="B167" s="7" t="s">
        <v>303</v>
      </c>
      <c r="C167" s="8">
        <v>121006.87</v>
      </c>
      <c r="D167" s="8">
        <v>121006.87</v>
      </c>
      <c r="E167" s="9">
        <v>1</v>
      </c>
      <c r="F167" s="10" t="s">
        <v>17</v>
      </c>
      <c r="G167" s="10" t="s">
        <v>17</v>
      </c>
    </row>
    <row r="168" spans="1:7" x14ac:dyDescent="0.25">
      <c r="A168" s="6" t="s">
        <v>39</v>
      </c>
      <c r="B168" s="7" t="s">
        <v>215</v>
      </c>
      <c r="C168" s="8">
        <v>119225.14</v>
      </c>
      <c r="D168" s="8">
        <v>935.69</v>
      </c>
      <c r="E168" s="9">
        <v>7.8480931119057594E-3</v>
      </c>
      <c r="F168" s="10" t="s">
        <v>17</v>
      </c>
      <c r="G168" s="10" t="s">
        <v>17</v>
      </c>
    </row>
    <row r="169" spans="1:7" x14ac:dyDescent="0.25">
      <c r="A169" s="6" t="s">
        <v>40</v>
      </c>
      <c r="B169" s="7" t="s">
        <v>308</v>
      </c>
      <c r="C169" s="8">
        <v>99195.478900000002</v>
      </c>
      <c r="D169" s="8">
        <v>2025.67</v>
      </c>
      <c r="E169" s="9">
        <v>2.04209911828955E-2</v>
      </c>
      <c r="F169" s="10" t="s">
        <v>17</v>
      </c>
      <c r="G169" s="10" t="s">
        <v>17</v>
      </c>
    </row>
    <row r="170" spans="1:7" x14ac:dyDescent="0.25">
      <c r="A170" s="6" t="s">
        <v>41</v>
      </c>
      <c r="B170" s="7" t="s">
        <v>294</v>
      </c>
      <c r="C170" s="8">
        <v>83263.839999999997</v>
      </c>
      <c r="D170" s="8">
        <v>46097.65</v>
      </c>
      <c r="E170" s="9">
        <v>0.55363348603667595</v>
      </c>
      <c r="F170" s="10" t="s">
        <v>17</v>
      </c>
      <c r="G170" s="10" t="s">
        <v>17</v>
      </c>
    </row>
    <row r="171" spans="1:7" x14ac:dyDescent="0.25">
      <c r="A171" s="6" t="s">
        <v>42</v>
      </c>
      <c r="B171" s="7" t="s">
        <v>184</v>
      </c>
      <c r="C171" s="8">
        <v>80131.839999999997</v>
      </c>
      <c r="D171" s="8">
        <v>80131.839999999997</v>
      </c>
      <c r="E171" s="9">
        <v>1</v>
      </c>
      <c r="F171" s="10" t="s">
        <v>17</v>
      </c>
      <c r="G171" s="10" t="s">
        <v>17</v>
      </c>
    </row>
    <row r="172" spans="1:7" x14ac:dyDescent="0.25">
      <c r="A172" s="6" t="s">
        <v>43</v>
      </c>
      <c r="B172" s="7" t="s">
        <v>280</v>
      </c>
      <c r="C172" s="8">
        <v>76763.94</v>
      </c>
      <c r="D172" s="8">
        <v>1165.73</v>
      </c>
      <c r="E172" s="9">
        <v>1.5185906299233699E-2</v>
      </c>
      <c r="F172" s="10" t="s">
        <v>17</v>
      </c>
      <c r="G172" s="10" t="s">
        <v>17</v>
      </c>
    </row>
    <row r="173" spans="1:7" x14ac:dyDescent="0.25">
      <c r="A173" s="6" t="s">
        <v>44</v>
      </c>
      <c r="B173" s="7" t="s">
        <v>284</v>
      </c>
      <c r="C173" s="8">
        <v>58276.31</v>
      </c>
      <c r="D173" s="8">
        <v>11313.96</v>
      </c>
      <c r="E173" s="9">
        <v>0.19414338347778001</v>
      </c>
      <c r="F173" s="10" t="s">
        <v>17</v>
      </c>
      <c r="G173" s="10" t="s">
        <v>17</v>
      </c>
    </row>
    <row r="174" spans="1:7" x14ac:dyDescent="0.25">
      <c r="A174" s="6" t="s">
        <v>45</v>
      </c>
      <c r="B174" s="7" t="s">
        <v>175</v>
      </c>
      <c r="C174" s="8">
        <v>57342.77</v>
      </c>
      <c r="D174" s="8">
        <v>57342.77</v>
      </c>
      <c r="E174" s="9">
        <v>1</v>
      </c>
      <c r="F174" s="10" t="s">
        <v>17</v>
      </c>
      <c r="G174" s="10" t="s">
        <v>17</v>
      </c>
    </row>
    <row r="175" spans="1:7" x14ac:dyDescent="0.25">
      <c r="A175" s="6" t="s">
        <v>46</v>
      </c>
      <c r="B175" s="7" t="s">
        <v>227</v>
      </c>
      <c r="C175" s="8">
        <v>50059.42</v>
      </c>
      <c r="D175" s="8">
        <v>50059.42</v>
      </c>
      <c r="E175" s="9">
        <v>1</v>
      </c>
      <c r="F175" s="10" t="s">
        <v>17</v>
      </c>
      <c r="G175" s="10" t="s">
        <v>17</v>
      </c>
    </row>
    <row r="176" spans="1:7" x14ac:dyDescent="0.25">
      <c r="A176" s="6" t="s">
        <v>47</v>
      </c>
      <c r="B176" s="7" t="s">
        <v>248</v>
      </c>
      <c r="C176" s="8">
        <v>37314.75</v>
      </c>
      <c r="D176" s="8">
        <v>37314.75</v>
      </c>
      <c r="E176" s="9">
        <v>1</v>
      </c>
      <c r="F176" s="10" t="s">
        <v>17</v>
      </c>
      <c r="G176" s="10" t="s">
        <v>17</v>
      </c>
    </row>
    <row r="177" spans="1:7" x14ac:dyDescent="0.25">
      <c r="A177" s="6" t="s">
        <v>48</v>
      </c>
      <c r="B177" s="7" t="s">
        <v>261</v>
      </c>
      <c r="C177" s="8">
        <v>35085.57</v>
      </c>
      <c r="D177" s="8">
        <v>9833.81</v>
      </c>
      <c r="E177" s="9">
        <v>0.28028075359756199</v>
      </c>
      <c r="F177" s="10" t="s">
        <v>17</v>
      </c>
      <c r="G177" s="10" t="s">
        <v>17</v>
      </c>
    </row>
    <row r="178" spans="1:7" x14ac:dyDescent="0.25">
      <c r="A178" s="6" t="s">
        <v>49</v>
      </c>
      <c r="B178" s="7" t="s">
        <v>190</v>
      </c>
      <c r="C178" s="8">
        <v>33618.79</v>
      </c>
      <c r="D178" s="8">
        <v>33618.79</v>
      </c>
      <c r="E178" s="9">
        <v>1</v>
      </c>
      <c r="F178" s="10" t="s">
        <v>17</v>
      </c>
      <c r="G178" s="10" t="s">
        <v>17</v>
      </c>
    </row>
    <row r="179" spans="1:7" x14ac:dyDescent="0.25">
      <c r="A179" s="6" t="s">
        <v>50</v>
      </c>
      <c r="B179" s="7" t="s">
        <v>220</v>
      </c>
      <c r="C179" s="8">
        <v>20872.25</v>
      </c>
      <c r="D179" s="8">
        <v>20872.25</v>
      </c>
      <c r="E179" s="9">
        <v>1</v>
      </c>
      <c r="F179" s="10" t="s">
        <v>17</v>
      </c>
      <c r="G179" s="10" t="s">
        <v>17</v>
      </c>
    </row>
    <row r="180" spans="1:7" x14ac:dyDescent="0.25">
      <c r="A180" s="6" t="s">
        <v>51</v>
      </c>
      <c r="B180" s="7" t="s">
        <v>285</v>
      </c>
      <c r="C180" s="8">
        <v>20002.439999999999</v>
      </c>
      <c r="D180" s="8">
        <v>20002.439999999999</v>
      </c>
      <c r="E180" s="9">
        <v>1</v>
      </c>
      <c r="F180" s="10" t="s">
        <v>17</v>
      </c>
      <c r="G180" s="10" t="s">
        <v>17</v>
      </c>
    </row>
    <row r="181" spans="1:7" x14ac:dyDescent="0.25">
      <c r="A181" s="6" t="s">
        <v>52</v>
      </c>
      <c r="B181" s="7" t="s">
        <v>287</v>
      </c>
      <c r="C181" s="8">
        <v>11549.46</v>
      </c>
      <c r="D181" s="8">
        <v>285.43</v>
      </c>
      <c r="E181" s="9">
        <v>2.47137095587153E-2</v>
      </c>
      <c r="F181" s="10" t="s">
        <v>17</v>
      </c>
      <c r="G181" s="10" t="s">
        <v>17</v>
      </c>
    </row>
    <row r="182" spans="1:7" x14ac:dyDescent="0.25">
      <c r="A182" s="6" t="s">
        <v>53</v>
      </c>
      <c r="B182" s="7" t="s">
        <v>238</v>
      </c>
      <c r="C182" s="8">
        <v>6108.14</v>
      </c>
      <c r="D182" s="8">
        <v>66.16</v>
      </c>
      <c r="E182" s="9">
        <v>1.08314478712014E-2</v>
      </c>
      <c r="F182" s="10" t="s">
        <v>17</v>
      </c>
      <c r="G182" s="10" t="s">
        <v>17</v>
      </c>
    </row>
    <row r="183" spans="1:7" x14ac:dyDescent="0.25">
      <c r="A183" s="6" t="s">
        <v>54</v>
      </c>
      <c r="B183" s="7" t="s">
        <v>261</v>
      </c>
      <c r="C183" s="8">
        <v>5505.76</v>
      </c>
      <c r="D183" s="8">
        <v>5505.76</v>
      </c>
      <c r="E183" s="9">
        <v>1</v>
      </c>
      <c r="F183" s="10" t="s">
        <v>17</v>
      </c>
      <c r="G183" s="10" t="s">
        <v>17</v>
      </c>
    </row>
    <row r="184" spans="1:7" x14ac:dyDescent="0.25">
      <c r="A184" s="6" t="s">
        <v>55</v>
      </c>
      <c r="B184" s="7" t="s">
        <v>288</v>
      </c>
      <c r="C184" s="8">
        <v>4881.42</v>
      </c>
      <c r="D184" s="8">
        <v>948.17</v>
      </c>
      <c r="E184" s="9">
        <v>0.194240610314212</v>
      </c>
      <c r="F184" s="10" t="s">
        <v>17</v>
      </c>
      <c r="G184" s="10" t="s">
        <v>17</v>
      </c>
    </row>
    <row r="185" spans="1:7" x14ac:dyDescent="0.25">
      <c r="A185" s="6" t="s">
        <v>56</v>
      </c>
      <c r="B185" s="7" t="s">
        <v>230</v>
      </c>
      <c r="C185" s="8">
        <v>3500.01</v>
      </c>
      <c r="D185" s="8">
        <v>3500.01</v>
      </c>
      <c r="E185" s="9">
        <v>1</v>
      </c>
      <c r="F185" s="10" t="s">
        <v>17</v>
      </c>
      <c r="G185" s="10" t="s">
        <v>17</v>
      </c>
    </row>
    <row r="186" spans="1:7" x14ac:dyDescent="0.25">
      <c r="A186" s="6" t="s">
        <v>57</v>
      </c>
      <c r="B186" s="7" t="s">
        <v>326</v>
      </c>
      <c r="C186" s="8">
        <v>2674.03</v>
      </c>
      <c r="D186" s="8">
        <v>2674.03</v>
      </c>
      <c r="E186" s="9">
        <v>1</v>
      </c>
      <c r="F186" s="10" t="s">
        <v>17</v>
      </c>
      <c r="G186" s="10" t="s">
        <v>17</v>
      </c>
    </row>
    <row r="187" spans="1:7" x14ac:dyDescent="0.25">
      <c r="A187" s="6" t="s">
        <v>58</v>
      </c>
      <c r="B187" s="7" t="s">
        <v>305</v>
      </c>
      <c r="C187" s="8">
        <v>2000</v>
      </c>
      <c r="D187" s="8">
        <v>2000</v>
      </c>
      <c r="E187" s="9">
        <v>1</v>
      </c>
      <c r="F187" s="10" t="s">
        <v>17</v>
      </c>
      <c r="G187" s="10" t="s">
        <v>17</v>
      </c>
    </row>
    <row r="188" spans="1:7" x14ac:dyDescent="0.25">
      <c r="A188" s="6" t="s">
        <v>59</v>
      </c>
      <c r="B188" s="7" t="s">
        <v>202</v>
      </c>
      <c r="C188" s="8">
        <v>1555.46</v>
      </c>
      <c r="D188" s="8">
        <v>19.43</v>
      </c>
      <c r="E188" s="9">
        <v>1.24914816195852E-2</v>
      </c>
      <c r="F188" s="10" t="s">
        <v>17</v>
      </c>
      <c r="G188" s="10" t="s">
        <v>17</v>
      </c>
    </row>
    <row r="189" spans="1:7" x14ac:dyDescent="0.25">
      <c r="A189" s="6" t="s">
        <v>60</v>
      </c>
      <c r="B189" s="7" t="s">
        <v>289</v>
      </c>
      <c r="C189" s="8">
        <v>1227.07</v>
      </c>
      <c r="D189" s="8">
        <v>54.98</v>
      </c>
      <c r="E189" s="9">
        <v>4.4805919792676903E-2</v>
      </c>
      <c r="F189" s="10" t="s">
        <v>17</v>
      </c>
      <c r="G189" s="10" t="s">
        <v>17</v>
      </c>
    </row>
    <row r="190" spans="1:7" x14ac:dyDescent="0.25">
      <c r="A190" s="6" t="s">
        <v>61</v>
      </c>
      <c r="B190" s="7" t="s">
        <v>295</v>
      </c>
      <c r="C190" s="8">
        <v>1200.01</v>
      </c>
      <c r="D190" s="8">
        <v>1200.01</v>
      </c>
      <c r="E190" s="9">
        <v>1</v>
      </c>
      <c r="F190" s="10" t="s">
        <v>17</v>
      </c>
      <c r="G190" s="10" t="s">
        <v>17</v>
      </c>
    </row>
    <row r="191" spans="1:7" x14ac:dyDescent="0.25">
      <c r="A191" s="6" t="s">
        <v>62</v>
      </c>
      <c r="B191" s="7" t="s">
        <v>327</v>
      </c>
      <c r="C191" s="8">
        <v>1150.42</v>
      </c>
      <c r="D191" s="8">
        <v>1150.42</v>
      </c>
      <c r="E191" s="9">
        <v>1</v>
      </c>
      <c r="F191" s="10" t="s">
        <v>17</v>
      </c>
      <c r="G191" s="10" t="s">
        <v>17</v>
      </c>
    </row>
    <row r="192" spans="1:7" x14ac:dyDescent="0.25">
      <c r="A192" s="6" t="s">
        <v>63</v>
      </c>
      <c r="B192" s="7" t="s">
        <v>314</v>
      </c>
      <c r="C192" s="8">
        <v>1000.42</v>
      </c>
      <c r="D192" s="8">
        <v>1000.42</v>
      </c>
      <c r="E192" s="9">
        <v>1</v>
      </c>
      <c r="F192" s="10" t="s">
        <v>17</v>
      </c>
      <c r="G192" s="10" t="s">
        <v>17</v>
      </c>
    </row>
    <row r="193" spans="1:7" x14ac:dyDescent="0.25">
      <c r="A193" s="6" t="s">
        <v>64</v>
      </c>
      <c r="B193" s="7" t="s">
        <v>290</v>
      </c>
      <c r="C193" s="8">
        <v>611.04999999999995</v>
      </c>
      <c r="D193" s="8">
        <v>89.51</v>
      </c>
      <c r="E193" s="9">
        <v>0.14648555764667401</v>
      </c>
      <c r="F193" s="10" t="s">
        <v>17</v>
      </c>
      <c r="G193" s="10" t="s">
        <v>17</v>
      </c>
    </row>
    <row r="194" spans="1:7" x14ac:dyDescent="0.25">
      <c r="A194" s="6" t="s">
        <v>65</v>
      </c>
      <c r="B194" s="7" t="s">
        <v>204</v>
      </c>
      <c r="C194" s="8">
        <v>21.6</v>
      </c>
      <c r="D194" s="8">
        <v>21.6</v>
      </c>
      <c r="E194" s="9">
        <v>1</v>
      </c>
      <c r="F194" s="10" t="s">
        <v>17</v>
      </c>
      <c r="G194" s="10" t="s">
        <v>17</v>
      </c>
    </row>
    <row r="195" spans="1:7" x14ac:dyDescent="0.25">
      <c r="A195" s="6" t="s">
        <v>66</v>
      </c>
      <c r="B195" s="7" t="s">
        <v>271</v>
      </c>
      <c r="C195" s="8">
        <v>20.07</v>
      </c>
      <c r="D195" s="8">
        <v>20.07</v>
      </c>
      <c r="E195" s="9">
        <v>1</v>
      </c>
      <c r="F195" s="10" t="s">
        <v>17</v>
      </c>
      <c r="G195" s="10" t="s">
        <v>17</v>
      </c>
    </row>
    <row r="196" spans="1:7" x14ac:dyDescent="0.25">
      <c r="A196" s="6" t="s">
        <v>67</v>
      </c>
      <c r="B196" s="7" t="s">
        <v>297</v>
      </c>
      <c r="C196" s="8">
        <v>6.87</v>
      </c>
      <c r="D196" s="8">
        <v>6.87</v>
      </c>
      <c r="E196" s="9">
        <v>1</v>
      </c>
      <c r="F196" s="10" t="s">
        <v>17</v>
      </c>
      <c r="G196" s="10" t="s">
        <v>17</v>
      </c>
    </row>
    <row r="197" spans="1:7" x14ac:dyDescent="0.25">
      <c r="A197" s="6" t="s">
        <v>68</v>
      </c>
      <c r="B197" s="7" t="s">
        <v>296</v>
      </c>
      <c r="C197" s="8">
        <v>3.17</v>
      </c>
      <c r="D197" s="8">
        <v>3.17</v>
      </c>
      <c r="E197" s="9">
        <v>1</v>
      </c>
      <c r="F197" s="10" t="s">
        <v>17</v>
      </c>
      <c r="G197" s="10" t="s">
        <v>17</v>
      </c>
    </row>
    <row r="198" spans="1:7" x14ac:dyDescent="0.25">
      <c r="A198" s="6" t="s">
        <v>69</v>
      </c>
      <c r="B198" s="7" t="s">
        <v>281</v>
      </c>
      <c r="C198" s="8">
        <v>0.33</v>
      </c>
      <c r="D198" s="8">
        <v>0.33</v>
      </c>
      <c r="E198" s="9">
        <v>1</v>
      </c>
      <c r="F198" s="10" t="s">
        <v>17</v>
      </c>
      <c r="G198" s="10" t="s">
        <v>17</v>
      </c>
    </row>
    <row r="199" spans="1:7" x14ac:dyDescent="0.25">
      <c r="A199" s="6" t="s">
        <v>70</v>
      </c>
      <c r="B199" s="7" t="s">
        <v>164</v>
      </c>
      <c r="C199" s="8">
        <v>0.03</v>
      </c>
      <c r="D199" s="8">
        <v>0.03</v>
      </c>
      <c r="E199" s="9">
        <v>1</v>
      </c>
      <c r="F199" s="10" t="s">
        <v>17</v>
      </c>
      <c r="G199" s="10" t="s">
        <v>17</v>
      </c>
    </row>
    <row r="200" spans="1:7" x14ac:dyDescent="0.25">
      <c r="A200" s="6" t="s">
        <v>71</v>
      </c>
      <c r="B200" s="7" t="s">
        <v>208</v>
      </c>
      <c r="C200" s="8">
        <v>0.01</v>
      </c>
      <c r="D200" s="8">
        <v>0.01</v>
      </c>
      <c r="E200" s="9">
        <v>1</v>
      </c>
      <c r="F200" s="10" t="s">
        <v>17</v>
      </c>
      <c r="G200" s="10" t="s">
        <v>17</v>
      </c>
    </row>
    <row r="201" spans="1:7" x14ac:dyDescent="0.25">
      <c r="A201" s="6" t="s">
        <v>72</v>
      </c>
      <c r="B201" s="7" t="s">
        <v>286</v>
      </c>
      <c r="C201" s="8">
        <v>0</v>
      </c>
      <c r="D201" s="8">
        <v>0</v>
      </c>
      <c r="E201" s="9">
        <v>0</v>
      </c>
      <c r="F201" s="10" t="s">
        <v>17</v>
      </c>
      <c r="G201" s="10" t="s">
        <v>17</v>
      </c>
    </row>
    <row r="202" spans="1:7" x14ac:dyDescent="0.25">
      <c r="A202" s="6" t="s">
        <v>73</v>
      </c>
      <c r="B202" s="7" t="s">
        <v>210</v>
      </c>
      <c r="C202" s="8">
        <v>0</v>
      </c>
      <c r="D202" s="8">
        <v>0</v>
      </c>
      <c r="E202" s="9">
        <v>0</v>
      </c>
      <c r="F202" s="10" t="s">
        <v>17</v>
      </c>
      <c r="G202" s="10" t="s">
        <v>17</v>
      </c>
    </row>
    <row r="203" spans="1:7" x14ac:dyDescent="0.25">
      <c r="A203" s="6" t="s">
        <v>74</v>
      </c>
      <c r="B203" s="7" t="s">
        <v>219</v>
      </c>
      <c r="C203" s="8">
        <v>0</v>
      </c>
      <c r="D203" s="8">
        <v>0</v>
      </c>
      <c r="E203" s="9">
        <v>0</v>
      </c>
      <c r="F203" s="10" t="s">
        <v>17</v>
      </c>
      <c r="G203" s="10" t="s">
        <v>17</v>
      </c>
    </row>
    <row r="204" spans="1:7" x14ac:dyDescent="0.25">
      <c r="A204" s="6" t="s">
        <v>75</v>
      </c>
      <c r="B204" s="7" t="s">
        <v>262</v>
      </c>
      <c r="C204" s="8">
        <v>0</v>
      </c>
      <c r="D204" s="8">
        <v>0</v>
      </c>
      <c r="E204" s="9">
        <v>0</v>
      </c>
      <c r="F204" s="10" t="s">
        <v>17</v>
      </c>
      <c r="G204" s="10" t="s">
        <v>17</v>
      </c>
    </row>
    <row r="205" spans="1:7" x14ac:dyDescent="0.25">
      <c r="A205" s="6" t="s">
        <v>76</v>
      </c>
      <c r="B205" s="7" t="s">
        <v>282</v>
      </c>
      <c r="C205" s="8">
        <v>0</v>
      </c>
      <c r="D205" s="8">
        <v>0</v>
      </c>
      <c r="E205" s="9">
        <v>0</v>
      </c>
      <c r="F205" s="10" t="s">
        <v>17</v>
      </c>
      <c r="G205" s="10" t="s">
        <v>17</v>
      </c>
    </row>
    <row r="206" spans="1:7" x14ac:dyDescent="0.25">
      <c r="A206" s="6" t="s">
        <v>77</v>
      </c>
      <c r="B206" s="7" t="s">
        <v>229</v>
      </c>
      <c r="C206" s="8">
        <v>0</v>
      </c>
      <c r="D206" s="8">
        <v>0</v>
      </c>
      <c r="E206" s="9">
        <v>0</v>
      </c>
      <c r="F206" s="10" t="s">
        <v>17</v>
      </c>
      <c r="G206" s="10" t="s">
        <v>17</v>
      </c>
    </row>
    <row r="207" spans="1:7" x14ac:dyDescent="0.25">
      <c r="A207" s="6" t="s">
        <v>78</v>
      </c>
      <c r="B207" s="7" t="s">
        <v>221</v>
      </c>
      <c r="C207" s="8">
        <v>0</v>
      </c>
      <c r="D207" s="8">
        <v>0</v>
      </c>
      <c r="E207" s="9">
        <v>0</v>
      </c>
      <c r="F207" s="10" t="s">
        <v>17</v>
      </c>
      <c r="G207" s="10" t="s">
        <v>17</v>
      </c>
    </row>
    <row r="208" spans="1:7" x14ac:dyDescent="0.25">
      <c r="C208" s="8"/>
      <c r="D208" s="8"/>
      <c r="E208" s="9"/>
    </row>
    <row r="213" spans="2:5" x14ac:dyDescent="0.25">
      <c r="B213" s="20" t="s">
        <v>273</v>
      </c>
      <c r="C213" s="21">
        <f>SUM(C2:C145)</f>
        <v>90040663.184100017</v>
      </c>
      <c r="D213" s="21">
        <f>SUM(D2:D145)</f>
        <v>25483489.369999982</v>
      </c>
      <c r="E213" s="22">
        <f>(D213 / C213)</f>
        <v>0.28302200882167677</v>
      </c>
    </row>
    <row r="217" spans="2:5" x14ac:dyDescent="0.25">
      <c r="B217" s="20" t="s">
        <v>272</v>
      </c>
      <c r="C217" s="21">
        <f>SUM(C146:C211)</f>
        <v>11454235.5089</v>
      </c>
      <c r="D217" s="21">
        <f>SUM(D146:D211)</f>
        <v>7350868.5000000019</v>
      </c>
      <c r="E217" s="22">
        <f>(D217 / C217)</f>
        <v>0.64175985331263175</v>
      </c>
    </row>
    <row r="221" spans="2:5" x14ac:dyDescent="0.25">
      <c r="B221" s="20" t="s">
        <v>274</v>
      </c>
      <c r="C221" s="21">
        <f>SUM(C2:C217) / 2</f>
        <v>101494898.69300002</v>
      </c>
      <c r="D221" s="21">
        <f>SUM(D2:D217) / 2</f>
        <v>32834357.86999999</v>
      </c>
      <c r="E221" s="22">
        <f>(D221 / C221)</f>
        <v>0.32350746976275896</v>
      </c>
    </row>
  </sheetData>
  <pageMargins left="0.7" right="0.7" top="0.75" bottom="0.75" header="0.3" footer="0.3"/>
  <pageSetup orientation="landscape" r:id="rId1"/>
  <headerFooter>
    <oddHeader>&amp;R&amp;B&amp;12As of &amp;D&amp;C&amp;B&amp;12Sunset West Daily Cash Percentage Report</oddHeader>
    <oddFooter>&amp;C&amp;B&amp;12&amp;P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5B4C-EB9C-4079-B412-5ADADB249862}">
  <dimension ref="A1:G221"/>
  <sheetViews>
    <sheetView topLeftCell="A121" workbookViewId="0">
      <selection activeCell="B121" sqref="B1:B1048576"/>
    </sheetView>
  </sheetViews>
  <sheetFormatPr defaultRowHeight="15.75" x14ac:dyDescent="0.25"/>
  <cols>
    <col min="1" max="1" width="5" style="10" bestFit="1" customWidth="1"/>
    <col min="2" max="2" width="26.28515625" style="7" customWidth="1"/>
    <col min="3" max="3" width="15.140625" style="10" customWidth="1"/>
    <col min="4" max="4" width="14" style="10" customWidth="1"/>
    <col min="5" max="5" width="9.140625" style="10"/>
    <col min="6" max="6" width="9.7109375" style="10" customWidth="1"/>
    <col min="7" max="7" width="10.42578125" style="10" customWidth="1"/>
    <col min="8" max="16384" width="9.140625" style="1"/>
  </cols>
  <sheetData>
    <row r="1" spans="1:7" ht="31.5" x14ac:dyDescent="0.25">
      <c r="A1" s="18"/>
      <c r="B1" s="2" t="s">
        <v>157</v>
      </c>
      <c r="C1" s="3" t="s">
        <v>158</v>
      </c>
      <c r="D1" s="3" t="s">
        <v>159</v>
      </c>
      <c r="E1" s="4" t="s">
        <v>160</v>
      </c>
      <c r="F1" s="5" t="s">
        <v>161</v>
      </c>
      <c r="G1" s="5" t="s">
        <v>162</v>
      </c>
    </row>
    <row r="2" spans="1:7" x14ac:dyDescent="0.25">
      <c r="A2" s="6" t="s">
        <v>18</v>
      </c>
      <c r="B2" s="7" t="s">
        <v>163</v>
      </c>
      <c r="C2" s="8">
        <v>5000716.2</v>
      </c>
      <c r="D2" s="8">
        <v>1026013.78</v>
      </c>
      <c r="E2" s="9">
        <v>0.20517336696691599</v>
      </c>
      <c r="F2" s="10" t="s">
        <v>0</v>
      </c>
      <c r="G2" s="11">
        <f>(D2 / F2)</f>
        <v>76.001020740740742</v>
      </c>
    </row>
    <row r="3" spans="1:7" x14ac:dyDescent="0.25">
      <c r="A3" s="6" t="s">
        <v>19</v>
      </c>
      <c r="B3" s="7" t="s">
        <v>297</v>
      </c>
      <c r="C3" s="8">
        <v>4950068.3899999997</v>
      </c>
      <c r="D3" s="8">
        <v>4950068.3899999997</v>
      </c>
      <c r="E3" s="9">
        <v>1</v>
      </c>
      <c r="F3" s="10" t="s">
        <v>17</v>
      </c>
      <c r="G3" s="10" t="s">
        <v>17</v>
      </c>
    </row>
    <row r="4" spans="1:7" x14ac:dyDescent="0.25">
      <c r="A4" s="6" t="s">
        <v>20</v>
      </c>
      <c r="B4" s="7" t="s">
        <v>168</v>
      </c>
      <c r="C4" s="8">
        <v>4327116.6100000003</v>
      </c>
      <c r="D4" s="8">
        <v>1387482.62</v>
      </c>
      <c r="E4" s="9">
        <v>0.32064830811203898</v>
      </c>
      <c r="F4" s="10" t="s">
        <v>17</v>
      </c>
      <c r="G4" s="10" t="s">
        <v>17</v>
      </c>
    </row>
    <row r="5" spans="1:7" x14ac:dyDescent="0.25">
      <c r="A5" s="6" t="s">
        <v>21</v>
      </c>
      <c r="B5" s="7" t="s">
        <v>165</v>
      </c>
      <c r="C5" s="8">
        <v>3344704.2144999998</v>
      </c>
      <c r="D5" s="8">
        <v>700263.58</v>
      </c>
      <c r="E5" s="9">
        <v>0.20936487506554699</v>
      </c>
      <c r="F5" s="10" t="s">
        <v>17</v>
      </c>
      <c r="G5" s="10" t="s">
        <v>17</v>
      </c>
    </row>
    <row r="6" spans="1:7" x14ac:dyDescent="0.25">
      <c r="A6" s="6" t="s">
        <v>22</v>
      </c>
      <c r="B6" s="7" t="s">
        <v>166</v>
      </c>
      <c r="C6" s="8">
        <v>2965727.61</v>
      </c>
      <c r="D6" s="8">
        <v>507353.99</v>
      </c>
      <c r="E6" s="9">
        <v>0.17107234942591401</v>
      </c>
      <c r="F6" s="10" t="s">
        <v>17</v>
      </c>
      <c r="G6" s="10" t="s">
        <v>17</v>
      </c>
    </row>
    <row r="7" spans="1:7" x14ac:dyDescent="0.25">
      <c r="A7" s="6" t="s">
        <v>23</v>
      </c>
      <c r="B7" s="7" t="s">
        <v>164</v>
      </c>
      <c r="C7" s="8">
        <v>2947709.63</v>
      </c>
      <c r="D7" s="8">
        <v>568018.76</v>
      </c>
      <c r="E7" s="9">
        <v>0.19269834254332599</v>
      </c>
      <c r="F7" s="10" t="s">
        <v>1</v>
      </c>
      <c r="G7" s="11">
        <f>(D7 / F7)</f>
        <v>61.540494041170099</v>
      </c>
    </row>
    <row r="8" spans="1:7" x14ac:dyDescent="0.25">
      <c r="A8" s="6" t="s">
        <v>24</v>
      </c>
      <c r="B8" s="7" t="s">
        <v>167</v>
      </c>
      <c r="C8" s="8">
        <v>2588145.67</v>
      </c>
      <c r="D8" s="8">
        <v>1103732.9099999999</v>
      </c>
      <c r="E8" s="9">
        <v>0.42645702782254902</v>
      </c>
      <c r="F8" s="10" t="s">
        <v>2</v>
      </c>
      <c r="G8" s="11">
        <f>(D8 / F8)</f>
        <v>429.80253504672896</v>
      </c>
    </row>
    <row r="9" spans="1:7" x14ac:dyDescent="0.25">
      <c r="A9" s="6" t="s">
        <v>25</v>
      </c>
      <c r="B9" s="7" t="s">
        <v>169</v>
      </c>
      <c r="C9" s="8">
        <v>2299134.06</v>
      </c>
      <c r="D9" s="8">
        <v>352643.21</v>
      </c>
      <c r="E9" s="9">
        <v>0.153380882017815</v>
      </c>
      <c r="F9" s="10" t="s">
        <v>293</v>
      </c>
      <c r="G9" s="11">
        <f>(D9 / F9)</f>
        <v>37.120337894736842</v>
      </c>
    </row>
    <row r="10" spans="1:7" x14ac:dyDescent="0.25">
      <c r="A10" s="6" t="s">
        <v>26</v>
      </c>
      <c r="B10" s="7" t="s">
        <v>170</v>
      </c>
      <c r="C10" s="8">
        <v>2124233.67</v>
      </c>
      <c r="D10" s="8">
        <v>301034.23</v>
      </c>
      <c r="E10" s="9">
        <v>0.141714272893528</v>
      </c>
      <c r="F10" s="10" t="s">
        <v>3</v>
      </c>
      <c r="G10" s="11">
        <f>(D10 / F10)</f>
        <v>37.629278749999997</v>
      </c>
    </row>
    <row r="11" spans="1:7" x14ac:dyDescent="0.25">
      <c r="A11" s="6" t="s">
        <v>27</v>
      </c>
      <c r="B11" s="7" t="s">
        <v>171</v>
      </c>
      <c r="C11" s="8">
        <v>2033202.27</v>
      </c>
      <c r="D11" s="8">
        <v>313369.44</v>
      </c>
      <c r="E11" s="9">
        <v>0.15412605259387199</v>
      </c>
      <c r="F11" s="10" t="s">
        <v>17</v>
      </c>
      <c r="G11" s="10" t="s">
        <v>17</v>
      </c>
    </row>
    <row r="12" spans="1:7" x14ac:dyDescent="0.25">
      <c r="A12" s="6" t="s">
        <v>28</v>
      </c>
      <c r="B12" s="7" t="s">
        <v>172</v>
      </c>
      <c r="C12" s="8">
        <v>1919768.53</v>
      </c>
      <c r="D12" s="8">
        <v>389459.69</v>
      </c>
      <c r="E12" s="9">
        <v>0.20286804576383</v>
      </c>
      <c r="F12" s="10" t="s">
        <v>17</v>
      </c>
      <c r="G12" s="10" t="s">
        <v>17</v>
      </c>
    </row>
    <row r="13" spans="1:7" x14ac:dyDescent="0.25">
      <c r="A13" s="6" t="s">
        <v>29</v>
      </c>
      <c r="B13" s="7" t="s">
        <v>316</v>
      </c>
      <c r="C13" s="8">
        <v>1892225.1864</v>
      </c>
      <c r="D13" s="8">
        <v>993136.78</v>
      </c>
      <c r="E13" s="9">
        <v>0.52485126354832201</v>
      </c>
      <c r="F13" s="10" t="s">
        <v>17</v>
      </c>
      <c r="G13" s="10" t="s">
        <v>17</v>
      </c>
    </row>
    <row r="14" spans="1:7" x14ac:dyDescent="0.25">
      <c r="A14" s="6" t="s">
        <v>30</v>
      </c>
      <c r="B14" s="7" t="s">
        <v>173</v>
      </c>
      <c r="C14" s="8">
        <v>1839397.51</v>
      </c>
      <c r="D14" s="8">
        <v>335398.49</v>
      </c>
      <c r="E14" s="9">
        <v>0.18234149398190699</v>
      </c>
      <c r="F14" s="10" t="s">
        <v>4</v>
      </c>
      <c r="G14" s="11">
        <f>(D14 / F14)</f>
        <v>55.899748333333335</v>
      </c>
    </row>
    <row r="15" spans="1:7" x14ac:dyDescent="0.25">
      <c r="A15" s="6" t="s">
        <v>31</v>
      </c>
      <c r="B15" s="7" t="s">
        <v>299</v>
      </c>
      <c r="C15" s="8">
        <v>1727084.47</v>
      </c>
      <c r="D15" s="8">
        <v>1157351.49</v>
      </c>
      <c r="E15" s="9">
        <v>0.67011863640925495</v>
      </c>
      <c r="F15" s="10" t="s">
        <v>17</v>
      </c>
      <c r="G15" s="10" t="s">
        <v>17</v>
      </c>
    </row>
    <row r="16" spans="1:7" x14ac:dyDescent="0.25">
      <c r="A16" s="6" t="s">
        <v>32</v>
      </c>
      <c r="B16" s="7" t="s">
        <v>175</v>
      </c>
      <c r="C16" s="8">
        <v>1345342.28</v>
      </c>
      <c r="D16" s="8">
        <v>276690.59000000003</v>
      </c>
      <c r="E16" s="9">
        <v>0.205665572333013</v>
      </c>
      <c r="F16" s="10" t="s">
        <v>17</v>
      </c>
      <c r="G16" s="10" t="s">
        <v>17</v>
      </c>
    </row>
    <row r="17" spans="1:7" x14ac:dyDescent="0.25">
      <c r="A17" s="6" t="s">
        <v>33</v>
      </c>
      <c r="B17" s="7" t="s">
        <v>296</v>
      </c>
      <c r="C17" s="8">
        <v>1254434.57</v>
      </c>
      <c r="D17" s="8">
        <v>127189.75</v>
      </c>
      <c r="E17" s="9">
        <v>0.101392095723255</v>
      </c>
      <c r="F17" s="10" t="s">
        <v>17</v>
      </c>
      <c r="G17" s="10" t="s">
        <v>17</v>
      </c>
    </row>
    <row r="18" spans="1:7" x14ac:dyDescent="0.25">
      <c r="A18" s="6" t="s">
        <v>34</v>
      </c>
      <c r="B18" s="7" t="s">
        <v>177</v>
      </c>
      <c r="C18" s="8">
        <v>1243369.21</v>
      </c>
      <c r="D18" s="8">
        <v>268318.14</v>
      </c>
      <c r="E18" s="9">
        <v>0.215799247594365</v>
      </c>
      <c r="F18" s="10" t="s">
        <v>5</v>
      </c>
      <c r="G18" s="11">
        <f>(D18 / F18)</f>
        <v>119.25250666666668</v>
      </c>
    </row>
    <row r="19" spans="1:7" x14ac:dyDescent="0.25">
      <c r="A19" s="6" t="s">
        <v>35</v>
      </c>
      <c r="B19" s="7" t="s">
        <v>178</v>
      </c>
      <c r="C19" s="8">
        <v>1236634.6399999999</v>
      </c>
      <c r="D19" s="8">
        <v>266946.7</v>
      </c>
      <c r="E19" s="9">
        <v>0.21586545562074799</v>
      </c>
      <c r="F19" s="10" t="s">
        <v>17</v>
      </c>
      <c r="G19" s="10" t="s">
        <v>17</v>
      </c>
    </row>
    <row r="20" spans="1:7" x14ac:dyDescent="0.25">
      <c r="A20" s="6" t="s">
        <v>36</v>
      </c>
      <c r="B20" s="7" t="s">
        <v>176</v>
      </c>
      <c r="C20" s="8">
        <v>1235710.68</v>
      </c>
      <c r="D20" s="8">
        <v>305187.17</v>
      </c>
      <c r="E20" s="9">
        <v>0.24697299694779701</v>
      </c>
      <c r="F20" s="10" t="s">
        <v>17</v>
      </c>
      <c r="G20" s="10" t="s">
        <v>17</v>
      </c>
    </row>
    <row r="21" spans="1:7" x14ac:dyDescent="0.25">
      <c r="A21" s="6" t="s">
        <v>37</v>
      </c>
      <c r="B21" s="7" t="s">
        <v>182</v>
      </c>
      <c r="C21" s="8">
        <v>1224608.8</v>
      </c>
      <c r="D21" s="8">
        <v>39980.28</v>
      </c>
      <c r="E21" s="9">
        <v>3.26473891090771E-2</v>
      </c>
      <c r="F21" s="10" t="s">
        <v>17</v>
      </c>
      <c r="G21" s="10" t="s">
        <v>17</v>
      </c>
    </row>
    <row r="22" spans="1:7" x14ac:dyDescent="0.25">
      <c r="A22" s="6" t="s">
        <v>38</v>
      </c>
      <c r="B22" s="7" t="s">
        <v>184</v>
      </c>
      <c r="C22" s="8">
        <v>1143087.4099999999</v>
      </c>
      <c r="D22" s="8">
        <v>117310.74</v>
      </c>
      <c r="E22" s="9">
        <v>0.102626219984349</v>
      </c>
      <c r="F22" s="10" t="s">
        <v>17</v>
      </c>
      <c r="G22" s="10" t="s">
        <v>17</v>
      </c>
    </row>
    <row r="23" spans="1:7" x14ac:dyDescent="0.25">
      <c r="A23" s="6" t="s">
        <v>39</v>
      </c>
      <c r="B23" s="7" t="s">
        <v>180</v>
      </c>
      <c r="C23" s="8">
        <v>1137859.82</v>
      </c>
      <c r="D23" s="8">
        <v>298965.67</v>
      </c>
      <c r="E23" s="9">
        <v>0.26274385011679202</v>
      </c>
      <c r="F23" s="10" t="s">
        <v>17</v>
      </c>
      <c r="G23" s="10" t="s">
        <v>17</v>
      </c>
    </row>
    <row r="24" spans="1:7" x14ac:dyDescent="0.25">
      <c r="A24" s="6" t="s">
        <v>40</v>
      </c>
      <c r="B24" s="7" t="s">
        <v>189</v>
      </c>
      <c r="C24" s="8">
        <v>1136666.05</v>
      </c>
      <c r="D24" s="8">
        <v>297816.28999999998</v>
      </c>
      <c r="E24" s="9">
        <v>0.26200860842109303</v>
      </c>
      <c r="F24" s="10" t="s">
        <v>17</v>
      </c>
      <c r="G24" s="10" t="s">
        <v>17</v>
      </c>
    </row>
    <row r="25" spans="1:7" x14ac:dyDescent="0.25">
      <c r="A25" s="6" t="s">
        <v>41</v>
      </c>
      <c r="B25" s="7" t="s">
        <v>186</v>
      </c>
      <c r="C25" s="8">
        <v>1135105.69</v>
      </c>
      <c r="D25" s="8">
        <v>23669.759999999998</v>
      </c>
      <c r="E25" s="9">
        <v>2.0852472336739002E-2</v>
      </c>
      <c r="F25" s="10" t="s">
        <v>17</v>
      </c>
      <c r="G25" s="10" t="s">
        <v>17</v>
      </c>
    </row>
    <row r="26" spans="1:7" x14ac:dyDescent="0.25">
      <c r="A26" s="6" t="s">
        <v>42</v>
      </c>
      <c r="B26" s="7" t="s">
        <v>179</v>
      </c>
      <c r="C26" s="8">
        <v>1122304.45</v>
      </c>
      <c r="D26" s="8">
        <v>248149.76000000001</v>
      </c>
      <c r="E26" s="9">
        <v>0.22110734747599001</v>
      </c>
      <c r="F26" s="10" t="s">
        <v>4</v>
      </c>
      <c r="G26" s="11">
        <f>(D26 / F26)</f>
        <v>41.358293333333336</v>
      </c>
    </row>
    <row r="27" spans="1:7" x14ac:dyDescent="0.25">
      <c r="A27" s="12" t="s">
        <v>43</v>
      </c>
      <c r="B27" s="13" t="s">
        <v>181</v>
      </c>
      <c r="C27" s="14">
        <v>1041116.5067</v>
      </c>
      <c r="D27" s="14">
        <v>238302.09</v>
      </c>
      <c r="E27" s="15">
        <v>0.228890895943375</v>
      </c>
      <c r="F27" s="16" t="s">
        <v>6</v>
      </c>
      <c r="G27" s="17">
        <f>(D27 / F27)</f>
        <v>23.830209</v>
      </c>
    </row>
    <row r="28" spans="1:7" x14ac:dyDescent="0.25">
      <c r="A28" s="6" t="s">
        <v>44</v>
      </c>
      <c r="B28" s="7" t="s">
        <v>206</v>
      </c>
      <c r="C28" s="8">
        <v>1015023.76</v>
      </c>
      <c r="D28" s="8">
        <v>417323.35</v>
      </c>
      <c r="E28" s="9">
        <v>0.41114638538116599</v>
      </c>
      <c r="F28" s="10" t="s">
        <v>17</v>
      </c>
      <c r="G28" s="10" t="s">
        <v>17</v>
      </c>
    </row>
    <row r="29" spans="1:7" x14ac:dyDescent="0.25">
      <c r="A29" s="6" t="s">
        <v>45</v>
      </c>
      <c r="B29" s="7" t="s">
        <v>300</v>
      </c>
      <c r="C29" s="8">
        <v>1003066.46</v>
      </c>
      <c r="D29" s="8">
        <v>236228.77</v>
      </c>
      <c r="E29" s="9">
        <v>0.23550659843615901</v>
      </c>
      <c r="F29" s="10" t="s">
        <v>17</v>
      </c>
      <c r="G29" s="10" t="s">
        <v>17</v>
      </c>
    </row>
    <row r="30" spans="1:7" x14ac:dyDescent="0.25">
      <c r="A30" s="6" t="s">
        <v>46</v>
      </c>
      <c r="B30" s="7" t="s">
        <v>187</v>
      </c>
      <c r="C30" s="8">
        <v>966244.26</v>
      </c>
      <c r="D30" s="8">
        <v>192485.26</v>
      </c>
      <c r="E30" s="9">
        <v>0.19920973191602701</v>
      </c>
      <c r="F30" s="10" t="s">
        <v>17</v>
      </c>
      <c r="G30" s="10" t="s">
        <v>17</v>
      </c>
    </row>
    <row r="31" spans="1:7" x14ac:dyDescent="0.25">
      <c r="A31" s="6" t="s">
        <v>47</v>
      </c>
      <c r="B31" s="7" t="s">
        <v>188</v>
      </c>
      <c r="C31" s="8">
        <v>959738.99</v>
      </c>
      <c r="D31" s="8">
        <v>175316.24</v>
      </c>
      <c r="E31" s="9">
        <v>0.18267074884599599</v>
      </c>
      <c r="F31" s="10" t="s">
        <v>17</v>
      </c>
      <c r="G31" s="10" t="s">
        <v>17</v>
      </c>
    </row>
    <row r="32" spans="1:7" x14ac:dyDescent="0.25">
      <c r="A32" s="6" t="s">
        <v>48</v>
      </c>
      <c r="B32" s="7" t="s">
        <v>174</v>
      </c>
      <c r="C32" s="8">
        <v>926849.15</v>
      </c>
      <c r="D32" s="8">
        <v>796752.66</v>
      </c>
      <c r="E32" s="9">
        <v>0.85963574547163402</v>
      </c>
      <c r="F32" s="10" t="s">
        <v>17</v>
      </c>
      <c r="G32" s="10" t="s">
        <v>17</v>
      </c>
    </row>
    <row r="33" spans="1:7" x14ac:dyDescent="0.25">
      <c r="A33" s="6" t="s">
        <v>49</v>
      </c>
      <c r="B33" s="7" t="s">
        <v>199</v>
      </c>
      <c r="C33" s="8">
        <v>925419.14</v>
      </c>
      <c r="D33" s="8">
        <v>301451.87</v>
      </c>
      <c r="E33" s="9">
        <v>0.325746309936922</v>
      </c>
      <c r="F33" s="10" t="s">
        <v>12</v>
      </c>
      <c r="G33" s="11">
        <f>(D33 / F33)</f>
        <v>66.989304444444443</v>
      </c>
    </row>
    <row r="34" spans="1:7" x14ac:dyDescent="0.25">
      <c r="A34" s="6" t="s">
        <v>50</v>
      </c>
      <c r="B34" s="7" t="s">
        <v>185</v>
      </c>
      <c r="C34" s="8">
        <v>910117.36</v>
      </c>
      <c r="D34" s="8">
        <v>207171.93</v>
      </c>
      <c r="E34" s="9">
        <v>0.227632104501336</v>
      </c>
      <c r="F34" s="10" t="s">
        <v>7</v>
      </c>
      <c r="G34" s="11">
        <f>(D34 / F34)</f>
        <v>59.191980000000001</v>
      </c>
    </row>
    <row r="35" spans="1:7" x14ac:dyDescent="0.25">
      <c r="A35" s="6" t="s">
        <v>51</v>
      </c>
      <c r="B35" s="7" t="s">
        <v>190</v>
      </c>
      <c r="C35" s="8">
        <v>890383.84</v>
      </c>
      <c r="D35" s="8">
        <v>248624.33</v>
      </c>
      <c r="E35" s="9">
        <v>0.27923275202299302</v>
      </c>
      <c r="F35" s="10" t="s">
        <v>17</v>
      </c>
      <c r="G35" s="10" t="s">
        <v>17</v>
      </c>
    </row>
    <row r="36" spans="1:7" x14ac:dyDescent="0.25">
      <c r="A36" s="6" t="s">
        <v>52</v>
      </c>
      <c r="B36" s="7" t="s">
        <v>194</v>
      </c>
      <c r="C36" s="8">
        <v>858928.58</v>
      </c>
      <c r="D36" s="8">
        <v>162931.9</v>
      </c>
      <c r="E36" s="9">
        <v>0.18969202305504801</v>
      </c>
      <c r="F36" s="10" t="s">
        <v>10</v>
      </c>
      <c r="G36" s="11">
        <f>(D36 / F36)</f>
        <v>325.86379999999997</v>
      </c>
    </row>
    <row r="37" spans="1:7" x14ac:dyDescent="0.25">
      <c r="A37" s="6" t="s">
        <v>53</v>
      </c>
      <c r="B37" s="7" t="s">
        <v>192</v>
      </c>
      <c r="C37" s="8">
        <v>851119.68</v>
      </c>
      <c r="D37" s="8">
        <v>185564.26</v>
      </c>
      <c r="E37" s="9">
        <v>0.21802369791284801</v>
      </c>
      <c r="F37" s="10" t="s">
        <v>17</v>
      </c>
      <c r="G37" s="10" t="s">
        <v>17</v>
      </c>
    </row>
    <row r="38" spans="1:7" x14ac:dyDescent="0.25">
      <c r="A38" s="6" t="s">
        <v>54</v>
      </c>
      <c r="B38" s="7" t="s">
        <v>193</v>
      </c>
      <c r="C38" s="8">
        <v>823788.93</v>
      </c>
      <c r="D38" s="8">
        <v>154480.54</v>
      </c>
      <c r="E38" s="9">
        <v>0.187524418421112</v>
      </c>
      <c r="F38" s="10" t="s">
        <v>9</v>
      </c>
      <c r="G38" s="11">
        <f>(D38 / F38)</f>
        <v>60.580603921568631</v>
      </c>
    </row>
    <row r="39" spans="1:7" x14ac:dyDescent="0.25">
      <c r="A39" s="6" t="s">
        <v>55</v>
      </c>
      <c r="B39" s="7" t="s">
        <v>191</v>
      </c>
      <c r="C39" s="8">
        <v>808028.01</v>
      </c>
      <c r="D39" s="8">
        <v>172869.74</v>
      </c>
      <c r="E39" s="9">
        <v>0.21394028159989201</v>
      </c>
      <c r="F39" s="10" t="s">
        <v>8</v>
      </c>
      <c r="G39" s="11">
        <f>(D39 / F39)</f>
        <v>64.025829629629627</v>
      </c>
    </row>
    <row r="40" spans="1:7" x14ac:dyDescent="0.25">
      <c r="A40" s="6" t="s">
        <v>56</v>
      </c>
      <c r="B40" s="7" t="s">
        <v>301</v>
      </c>
      <c r="C40" s="8">
        <v>807549.71</v>
      </c>
      <c r="D40" s="8">
        <v>537705.39</v>
      </c>
      <c r="E40" s="9">
        <v>0.66584803801118297</v>
      </c>
      <c r="F40" s="10" t="s">
        <v>17</v>
      </c>
      <c r="G40" s="10" t="s">
        <v>17</v>
      </c>
    </row>
    <row r="41" spans="1:7" x14ac:dyDescent="0.25">
      <c r="A41" s="6" t="s">
        <v>57</v>
      </c>
      <c r="B41" s="7" t="s">
        <v>195</v>
      </c>
      <c r="C41" s="8">
        <v>806210.41</v>
      </c>
      <c r="D41" s="8">
        <v>194388.8</v>
      </c>
      <c r="E41" s="9">
        <v>0.241114227240008</v>
      </c>
      <c r="F41" s="10" t="s">
        <v>17</v>
      </c>
      <c r="G41" s="10" t="s">
        <v>17</v>
      </c>
    </row>
    <row r="42" spans="1:7" x14ac:dyDescent="0.25">
      <c r="A42" s="6" t="s">
        <v>58</v>
      </c>
      <c r="B42" s="7" t="s">
        <v>219</v>
      </c>
      <c r="C42" s="8">
        <v>797236.94</v>
      </c>
      <c r="D42" s="8">
        <v>288624.75</v>
      </c>
      <c r="E42" s="9">
        <v>0.36203133035957902</v>
      </c>
      <c r="F42" s="10" t="s">
        <v>17</v>
      </c>
      <c r="G42" s="10" t="s">
        <v>17</v>
      </c>
    </row>
    <row r="43" spans="1:7" x14ac:dyDescent="0.25">
      <c r="A43" s="6" t="s">
        <v>59</v>
      </c>
      <c r="B43" s="7" t="s">
        <v>302</v>
      </c>
      <c r="C43" s="8">
        <v>759485.1</v>
      </c>
      <c r="D43" s="8">
        <v>407225.87</v>
      </c>
      <c r="E43" s="9">
        <v>0.53618677970114204</v>
      </c>
      <c r="F43" s="10" t="s">
        <v>17</v>
      </c>
      <c r="G43" s="10" t="s">
        <v>17</v>
      </c>
    </row>
    <row r="44" spans="1:7" x14ac:dyDescent="0.25">
      <c r="A44" s="6" t="s">
        <v>60</v>
      </c>
      <c r="B44" s="7" t="s">
        <v>252</v>
      </c>
      <c r="C44" s="8">
        <v>718613.77</v>
      </c>
      <c r="D44" s="8">
        <v>134652.75</v>
      </c>
      <c r="E44" s="9">
        <v>0.18737847174846101</v>
      </c>
      <c r="F44" s="10" t="s">
        <v>17</v>
      </c>
      <c r="G44" s="10" t="s">
        <v>17</v>
      </c>
    </row>
    <row r="45" spans="1:7" x14ac:dyDescent="0.25">
      <c r="A45" s="6" t="s">
        <v>61</v>
      </c>
      <c r="B45" s="7" t="s">
        <v>196</v>
      </c>
      <c r="C45" s="8">
        <v>712578</v>
      </c>
      <c r="D45" s="8">
        <v>94802.76</v>
      </c>
      <c r="E45" s="9">
        <v>0.13304194067175801</v>
      </c>
      <c r="F45" s="10" t="s">
        <v>17</v>
      </c>
      <c r="G45" s="10" t="s">
        <v>17</v>
      </c>
    </row>
    <row r="46" spans="1:7" x14ac:dyDescent="0.25">
      <c r="A46" s="6" t="s">
        <v>62</v>
      </c>
      <c r="B46" s="7" t="s">
        <v>198</v>
      </c>
      <c r="C46" s="8">
        <v>698726.1</v>
      </c>
      <c r="D46" s="8">
        <v>103099.72</v>
      </c>
      <c r="E46" s="9">
        <v>0.147553841197574</v>
      </c>
      <c r="F46" s="10" t="s">
        <v>17</v>
      </c>
      <c r="G46" s="10" t="s">
        <v>17</v>
      </c>
    </row>
    <row r="47" spans="1:7" x14ac:dyDescent="0.25">
      <c r="A47" s="6" t="s">
        <v>63</v>
      </c>
      <c r="B47" s="7" t="s">
        <v>201</v>
      </c>
      <c r="C47" s="8">
        <v>639197.36</v>
      </c>
      <c r="D47" s="8">
        <v>113023.61</v>
      </c>
      <c r="E47" s="9">
        <v>0.17682114644528599</v>
      </c>
      <c r="F47" s="10" t="s">
        <v>13</v>
      </c>
      <c r="G47" s="11">
        <f>(D47 / F47)</f>
        <v>37.674536666666668</v>
      </c>
    </row>
    <row r="48" spans="1:7" x14ac:dyDescent="0.25">
      <c r="A48" s="6" t="s">
        <v>64</v>
      </c>
      <c r="B48" s="7" t="s">
        <v>213</v>
      </c>
      <c r="C48" s="8">
        <v>636684.66</v>
      </c>
      <c r="D48" s="8">
        <v>7366.36</v>
      </c>
      <c r="E48" s="9">
        <v>1.15698719677022E-2</v>
      </c>
      <c r="F48" s="10" t="s">
        <v>17</v>
      </c>
      <c r="G48" s="10" t="s">
        <v>17</v>
      </c>
    </row>
    <row r="49" spans="1:7" x14ac:dyDescent="0.25">
      <c r="A49" s="6" t="s">
        <v>65</v>
      </c>
      <c r="B49" s="7" t="s">
        <v>197</v>
      </c>
      <c r="C49" s="8">
        <v>627530.18000000005</v>
      </c>
      <c r="D49" s="8">
        <v>153719.49</v>
      </c>
      <c r="E49" s="9">
        <v>0.24495951732552501</v>
      </c>
      <c r="F49" s="10" t="s">
        <v>11</v>
      </c>
      <c r="G49" s="11">
        <f>(D49 / F49)</f>
        <v>40.846016490451426</v>
      </c>
    </row>
    <row r="50" spans="1:7" x14ac:dyDescent="0.25">
      <c r="A50" s="6" t="s">
        <v>66</v>
      </c>
      <c r="B50" s="7" t="s">
        <v>205</v>
      </c>
      <c r="C50" s="8">
        <v>594131.19999999995</v>
      </c>
      <c r="D50" s="8">
        <v>86979.47</v>
      </c>
      <c r="E50" s="9">
        <v>0.14639774851076701</v>
      </c>
      <c r="F50" s="10" t="s">
        <v>17</v>
      </c>
      <c r="G50" s="10" t="s">
        <v>17</v>
      </c>
    </row>
    <row r="51" spans="1:7" x14ac:dyDescent="0.25">
      <c r="A51" s="6" t="s">
        <v>67</v>
      </c>
      <c r="B51" s="7" t="s">
        <v>202</v>
      </c>
      <c r="C51" s="8">
        <v>566140.71</v>
      </c>
      <c r="D51" s="8">
        <v>115877.48</v>
      </c>
      <c r="E51" s="9">
        <v>0.20467964580748799</v>
      </c>
      <c r="F51" s="10" t="s">
        <v>17</v>
      </c>
      <c r="G51" s="10" t="s">
        <v>17</v>
      </c>
    </row>
    <row r="52" spans="1:7" x14ac:dyDescent="0.25">
      <c r="A52" s="6" t="s">
        <v>68</v>
      </c>
      <c r="B52" s="7" t="s">
        <v>203</v>
      </c>
      <c r="C52" s="8">
        <v>554935.85</v>
      </c>
      <c r="D52" s="8">
        <v>61853.09</v>
      </c>
      <c r="E52" s="9">
        <v>0.111459892165914</v>
      </c>
      <c r="F52" s="10" t="s">
        <v>17</v>
      </c>
      <c r="G52" s="10" t="s">
        <v>17</v>
      </c>
    </row>
    <row r="53" spans="1:7" x14ac:dyDescent="0.25">
      <c r="A53" s="6" t="s">
        <v>69</v>
      </c>
      <c r="B53" s="7" t="s">
        <v>204</v>
      </c>
      <c r="C53" s="8">
        <v>526364.77</v>
      </c>
      <c r="D53" s="8">
        <v>104413.38</v>
      </c>
      <c r="E53" s="9">
        <v>0.19836696137547399</v>
      </c>
      <c r="F53" s="10" t="s">
        <v>17</v>
      </c>
      <c r="G53" s="10" t="s">
        <v>17</v>
      </c>
    </row>
    <row r="54" spans="1:7" x14ac:dyDescent="0.25">
      <c r="A54" s="6" t="s">
        <v>70</v>
      </c>
      <c r="B54" s="7" t="s">
        <v>237</v>
      </c>
      <c r="C54" s="8">
        <v>495111.37</v>
      </c>
      <c r="D54" s="8">
        <v>211463.64</v>
      </c>
      <c r="E54" s="9">
        <v>0.42710317882621002</v>
      </c>
      <c r="F54" s="10" t="s">
        <v>17</v>
      </c>
      <c r="G54" s="10" t="s">
        <v>17</v>
      </c>
    </row>
    <row r="55" spans="1:7" x14ac:dyDescent="0.25">
      <c r="A55" s="6" t="s">
        <v>71</v>
      </c>
      <c r="B55" s="7" t="s">
        <v>200</v>
      </c>
      <c r="C55" s="8">
        <v>477503.78</v>
      </c>
      <c r="D55" s="8">
        <v>95509.02</v>
      </c>
      <c r="E55" s="9">
        <v>0.200017306669279</v>
      </c>
      <c r="F55" s="10" t="s">
        <v>17</v>
      </c>
      <c r="G55" s="10" t="s">
        <v>17</v>
      </c>
    </row>
    <row r="56" spans="1:7" x14ac:dyDescent="0.25">
      <c r="A56" s="6" t="s">
        <v>72</v>
      </c>
      <c r="B56" s="7" t="s">
        <v>215</v>
      </c>
      <c r="C56" s="8">
        <v>468402.29</v>
      </c>
      <c r="D56" s="8">
        <v>73055.34</v>
      </c>
      <c r="E56" s="9">
        <v>0.15596708547261801</v>
      </c>
      <c r="F56" s="10" t="s">
        <v>17</v>
      </c>
      <c r="G56" s="10" t="s">
        <v>17</v>
      </c>
    </row>
    <row r="57" spans="1:7" x14ac:dyDescent="0.25">
      <c r="A57" s="6" t="s">
        <v>73</v>
      </c>
      <c r="B57" s="7" t="s">
        <v>207</v>
      </c>
      <c r="C57" s="8">
        <v>463287.4</v>
      </c>
      <c r="D57" s="8">
        <v>137740.78</v>
      </c>
      <c r="E57" s="9">
        <v>0.29731173349415502</v>
      </c>
      <c r="F57" s="10" t="s">
        <v>17</v>
      </c>
      <c r="G57" s="10" t="s">
        <v>17</v>
      </c>
    </row>
    <row r="58" spans="1:7" x14ac:dyDescent="0.25">
      <c r="A58" s="6" t="s">
        <v>74</v>
      </c>
      <c r="B58" s="7" t="s">
        <v>208</v>
      </c>
      <c r="C58" s="8">
        <v>461357.63290000003</v>
      </c>
      <c r="D58" s="8">
        <v>94985.4</v>
      </c>
      <c r="E58" s="9">
        <v>0.20588236375963101</v>
      </c>
      <c r="F58" s="10" t="s">
        <v>14</v>
      </c>
      <c r="G58" s="11">
        <f>(D58 / F58)</f>
        <v>37.994160000000001</v>
      </c>
    </row>
    <row r="59" spans="1:7" x14ac:dyDescent="0.25">
      <c r="A59" s="6" t="s">
        <v>75</v>
      </c>
      <c r="B59" s="7" t="s">
        <v>221</v>
      </c>
      <c r="C59" s="8">
        <v>457280.06</v>
      </c>
      <c r="D59" s="8">
        <v>155129.66</v>
      </c>
      <c r="E59" s="9">
        <v>0.33924431343015499</v>
      </c>
      <c r="F59" s="10" t="s">
        <v>17</v>
      </c>
      <c r="G59" s="10" t="s">
        <v>17</v>
      </c>
    </row>
    <row r="60" spans="1:7" x14ac:dyDescent="0.25">
      <c r="A60" s="6" t="s">
        <v>76</v>
      </c>
      <c r="B60" s="7" t="s">
        <v>250</v>
      </c>
      <c r="C60" s="8">
        <v>441657.54</v>
      </c>
      <c r="D60" s="8">
        <v>215085.8</v>
      </c>
      <c r="E60" s="9">
        <v>0.48699678035610999</v>
      </c>
      <c r="F60" s="10" t="s">
        <v>17</v>
      </c>
      <c r="G60" s="10" t="s">
        <v>17</v>
      </c>
    </row>
    <row r="61" spans="1:7" x14ac:dyDescent="0.25">
      <c r="A61" s="6" t="s">
        <v>77</v>
      </c>
      <c r="B61" s="7" t="s">
        <v>223</v>
      </c>
      <c r="C61" s="8">
        <v>433752.58</v>
      </c>
      <c r="D61" s="8">
        <v>57250.75</v>
      </c>
      <c r="E61" s="9">
        <v>0.13198941663932001</v>
      </c>
      <c r="F61" s="10" t="s">
        <v>17</v>
      </c>
      <c r="G61" s="10" t="s">
        <v>17</v>
      </c>
    </row>
    <row r="62" spans="1:7" x14ac:dyDescent="0.25">
      <c r="A62" s="6" t="s">
        <v>78</v>
      </c>
      <c r="B62" s="7" t="s">
        <v>214</v>
      </c>
      <c r="C62" s="8">
        <v>415423.53</v>
      </c>
      <c r="D62" s="8">
        <v>19286.29</v>
      </c>
      <c r="E62" s="9">
        <v>4.6425608101688401E-2</v>
      </c>
      <c r="F62" s="10" t="s">
        <v>17</v>
      </c>
      <c r="G62" s="10" t="s">
        <v>17</v>
      </c>
    </row>
    <row r="63" spans="1:7" x14ac:dyDescent="0.25">
      <c r="A63" s="6" t="s">
        <v>79</v>
      </c>
      <c r="B63" s="7" t="s">
        <v>211</v>
      </c>
      <c r="C63" s="8">
        <v>409080.52</v>
      </c>
      <c r="D63" s="8">
        <v>62052</v>
      </c>
      <c r="E63" s="9">
        <v>0.15168651883008299</v>
      </c>
      <c r="F63" s="10" t="s">
        <v>17</v>
      </c>
      <c r="G63" s="10" t="s">
        <v>17</v>
      </c>
    </row>
    <row r="64" spans="1:7" x14ac:dyDescent="0.25">
      <c r="A64" s="6" t="s">
        <v>80</v>
      </c>
      <c r="B64" s="7" t="s">
        <v>304</v>
      </c>
      <c r="C64" s="8">
        <v>403853.71</v>
      </c>
      <c r="D64" s="8">
        <v>75914.27</v>
      </c>
      <c r="E64" s="9">
        <v>0.18797467528526601</v>
      </c>
      <c r="F64" s="10" t="s">
        <v>17</v>
      </c>
      <c r="G64" s="10" t="s">
        <v>17</v>
      </c>
    </row>
    <row r="65" spans="1:7" x14ac:dyDescent="0.25">
      <c r="A65" s="6" t="s">
        <v>81</v>
      </c>
      <c r="B65" s="7" t="s">
        <v>209</v>
      </c>
      <c r="C65" s="8">
        <v>403552.8</v>
      </c>
      <c r="D65" s="8">
        <v>68032.990000000005</v>
      </c>
      <c r="E65" s="9">
        <v>0.168585102122944</v>
      </c>
      <c r="F65" s="10" t="s">
        <v>17</v>
      </c>
      <c r="G65" s="10" t="s">
        <v>17</v>
      </c>
    </row>
    <row r="66" spans="1:7" x14ac:dyDescent="0.25">
      <c r="A66" s="6" t="s">
        <v>82</v>
      </c>
      <c r="B66" s="7" t="s">
        <v>212</v>
      </c>
      <c r="C66" s="8">
        <v>399335.81</v>
      </c>
      <c r="D66" s="8">
        <v>75197.13</v>
      </c>
      <c r="E66" s="9">
        <v>0.18830550157773199</v>
      </c>
      <c r="F66" s="10" t="s">
        <v>17</v>
      </c>
      <c r="G66" s="10" t="s">
        <v>17</v>
      </c>
    </row>
    <row r="67" spans="1:7" x14ac:dyDescent="0.25">
      <c r="A67" s="6" t="s">
        <v>83</v>
      </c>
      <c r="B67" s="7" t="s">
        <v>210</v>
      </c>
      <c r="C67" s="8">
        <v>378867.92099999997</v>
      </c>
      <c r="D67" s="8">
        <v>71576.61</v>
      </c>
      <c r="E67" s="9">
        <v>0.188922328950621</v>
      </c>
      <c r="F67" s="10" t="s">
        <v>17</v>
      </c>
      <c r="G67" s="10" t="s">
        <v>17</v>
      </c>
    </row>
    <row r="68" spans="1:7" x14ac:dyDescent="0.25">
      <c r="A68" s="6" t="s">
        <v>84</v>
      </c>
      <c r="B68" s="7" t="s">
        <v>218</v>
      </c>
      <c r="C68" s="8">
        <v>375500.33</v>
      </c>
      <c r="D68" s="8">
        <v>54355.360000000001</v>
      </c>
      <c r="E68" s="9">
        <v>0.14475449329165699</v>
      </c>
      <c r="F68" s="10" t="s">
        <v>17</v>
      </c>
      <c r="G68" s="10" t="s">
        <v>17</v>
      </c>
    </row>
    <row r="69" spans="1:7" x14ac:dyDescent="0.25">
      <c r="A69" s="6" t="s">
        <v>85</v>
      </c>
      <c r="B69" s="7" t="s">
        <v>220</v>
      </c>
      <c r="C69" s="8">
        <v>360826.34</v>
      </c>
      <c r="D69" s="8">
        <v>64437.07</v>
      </c>
      <c r="E69" s="9">
        <v>0.178581946096286</v>
      </c>
      <c r="F69" s="10" t="s">
        <v>17</v>
      </c>
      <c r="G69" s="10" t="s">
        <v>17</v>
      </c>
    </row>
    <row r="70" spans="1:7" x14ac:dyDescent="0.25">
      <c r="A70" s="6" t="s">
        <v>86</v>
      </c>
      <c r="B70" s="7" t="s">
        <v>222</v>
      </c>
      <c r="C70" s="8">
        <v>358288.22</v>
      </c>
      <c r="D70" s="8">
        <v>41539.99</v>
      </c>
      <c r="E70" s="9">
        <v>0.115940150083639</v>
      </c>
      <c r="F70" s="10" t="s">
        <v>17</v>
      </c>
      <c r="G70" s="10" t="s">
        <v>17</v>
      </c>
    </row>
    <row r="71" spans="1:7" x14ac:dyDescent="0.25">
      <c r="A71" s="6" t="s">
        <v>87</v>
      </c>
      <c r="B71" s="7" t="s">
        <v>217</v>
      </c>
      <c r="C71" s="8">
        <v>343587.69</v>
      </c>
      <c r="D71" s="8">
        <v>51109.120000000003</v>
      </c>
      <c r="E71" s="9">
        <v>0.148751312947213</v>
      </c>
      <c r="F71" s="10" t="s">
        <v>15</v>
      </c>
      <c r="G71" s="11">
        <f>(D71 / F71)</f>
        <v>51.109120000000004</v>
      </c>
    </row>
    <row r="72" spans="1:7" x14ac:dyDescent="0.25">
      <c r="A72" s="6" t="s">
        <v>88</v>
      </c>
      <c r="B72" s="7" t="s">
        <v>226</v>
      </c>
      <c r="C72" s="8">
        <v>322924.84999999998</v>
      </c>
      <c r="D72" s="8">
        <v>20580.61</v>
      </c>
      <c r="E72" s="9">
        <v>6.3731886846119107E-2</v>
      </c>
      <c r="F72" s="10" t="s">
        <v>17</v>
      </c>
      <c r="G72" s="10" t="s">
        <v>17</v>
      </c>
    </row>
    <row r="73" spans="1:7" x14ac:dyDescent="0.25">
      <c r="A73" s="6" t="s">
        <v>89</v>
      </c>
      <c r="B73" s="7" t="s">
        <v>216</v>
      </c>
      <c r="C73" s="8">
        <v>319581.61</v>
      </c>
      <c r="D73" s="8">
        <v>168056.71</v>
      </c>
      <c r="E73" s="9">
        <v>0.52586477050416003</v>
      </c>
      <c r="F73" s="10" t="s">
        <v>17</v>
      </c>
      <c r="G73" s="10" t="s">
        <v>17</v>
      </c>
    </row>
    <row r="74" spans="1:7" x14ac:dyDescent="0.25">
      <c r="A74" s="6" t="s">
        <v>90</v>
      </c>
      <c r="B74" s="7" t="s">
        <v>227</v>
      </c>
      <c r="C74" s="8">
        <v>316537.65999999997</v>
      </c>
      <c r="D74" s="8">
        <v>27736.84</v>
      </c>
      <c r="E74" s="9">
        <v>8.7625718848114306E-2</v>
      </c>
      <c r="F74" s="10" t="s">
        <v>17</v>
      </c>
      <c r="G74" s="10" t="s">
        <v>17</v>
      </c>
    </row>
    <row r="75" spans="1:7" x14ac:dyDescent="0.25">
      <c r="A75" s="6" t="s">
        <v>91</v>
      </c>
      <c r="B75" s="7" t="s">
        <v>303</v>
      </c>
      <c r="C75" s="8">
        <v>310106.67</v>
      </c>
      <c r="D75" s="8">
        <v>18016.28</v>
      </c>
      <c r="E75" s="9">
        <v>5.8097041253579E-2</v>
      </c>
      <c r="F75" s="10" t="s">
        <v>17</v>
      </c>
      <c r="G75" s="10" t="s">
        <v>17</v>
      </c>
    </row>
    <row r="76" spans="1:7" x14ac:dyDescent="0.25">
      <c r="A76" s="6" t="s">
        <v>92</v>
      </c>
      <c r="B76" s="7" t="s">
        <v>224</v>
      </c>
      <c r="C76" s="8">
        <v>304715.8</v>
      </c>
      <c r="D76" s="8">
        <v>59639.25</v>
      </c>
      <c r="E76" s="9">
        <v>0.19572089796459499</v>
      </c>
      <c r="F76" s="10" t="s">
        <v>17</v>
      </c>
      <c r="G76" s="10" t="s">
        <v>17</v>
      </c>
    </row>
    <row r="77" spans="1:7" x14ac:dyDescent="0.25">
      <c r="A77" s="6" t="s">
        <v>93</v>
      </c>
      <c r="B77" s="7" t="s">
        <v>228</v>
      </c>
      <c r="C77" s="8">
        <v>294696.49</v>
      </c>
      <c r="D77" s="8">
        <v>14673.77</v>
      </c>
      <c r="E77" s="9">
        <v>4.97928224391136E-2</v>
      </c>
      <c r="F77" s="10" t="s">
        <v>17</v>
      </c>
      <c r="G77" s="10" t="s">
        <v>17</v>
      </c>
    </row>
    <row r="78" spans="1:7" x14ac:dyDescent="0.25">
      <c r="A78" s="6" t="s">
        <v>94</v>
      </c>
      <c r="B78" s="7" t="s">
        <v>229</v>
      </c>
      <c r="C78" s="8">
        <v>287132.71999999997</v>
      </c>
      <c r="D78" s="8">
        <v>28619.3</v>
      </c>
      <c r="E78" s="9">
        <v>9.9672722774332395E-2</v>
      </c>
      <c r="F78" s="10" t="s">
        <v>17</v>
      </c>
      <c r="G78" s="10" t="s">
        <v>17</v>
      </c>
    </row>
    <row r="79" spans="1:7" x14ac:dyDescent="0.25">
      <c r="A79" s="6" t="s">
        <v>95</v>
      </c>
      <c r="B79" s="7" t="s">
        <v>232</v>
      </c>
      <c r="C79" s="8">
        <v>280022.75</v>
      </c>
      <c r="D79" s="8">
        <v>13104.83</v>
      </c>
      <c r="E79" s="9">
        <v>4.6799161853813699E-2</v>
      </c>
      <c r="F79" s="10" t="s">
        <v>17</v>
      </c>
      <c r="G79" s="10" t="s">
        <v>17</v>
      </c>
    </row>
    <row r="80" spans="1:7" x14ac:dyDescent="0.25">
      <c r="A80" s="6" t="s">
        <v>96</v>
      </c>
      <c r="B80" s="7" t="s">
        <v>254</v>
      </c>
      <c r="C80" s="8">
        <v>279239.57</v>
      </c>
      <c r="D80" s="8">
        <v>43601.81</v>
      </c>
      <c r="E80" s="9">
        <v>0.156144811424828</v>
      </c>
      <c r="F80" s="10" t="s">
        <v>17</v>
      </c>
      <c r="G80" s="10" t="s">
        <v>17</v>
      </c>
    </row>
    <row r="81" spans="1:7" x14ac:dyDescent="0.25">
      <c r="A81" s="6" t="s">
        <v>97</v>
      </c>
      <c r="B81" s="7" t="s">
        <v>231</v>
      </c>
      <c r="C81" s="8">
        <v>278053.88</v>
      </c>
      <c r="D81" s="8">
        <v>22874.48</v>
      </c>
      <c r="E81" s="9">
        <v>8.2266357872797902E-2</v>
      </c>
      <c r="F81" s="10" t="s">
        <v>17</v>
      </c>
      <c r="G81" s="10" t="s">
        <v>17</v>
      </c>
    </row>
    <row r="82" spans="1:7" x14ac:dyDescent="0.25">
      <c r="A82" s="6" t="s">
        <v>98</v>
      </c>
      <c r="B82" s="7" t="s">
        <v>234</v>
      </c>
      <c r="C82" s="8">
        <v>264710.67</v>
      </c>
      <c r="D82" s="8">
        <v>25555.54</v>
      </c>
      <c r="E82" s="9">
        <v>9.6541404998899405E-2</v>
      </c>
      <c r="F82" s="10" t="s">
        <v>17</v>
      </c>
      <c r="G82" s="10" t="s">
        <v>17</v>
      </c>
    </row>
    <row r="83" spans="1:7" x14ac:dyDescent="0.25">
      <c r="A83" s="6" t="s">
        <v>99</v>
      </c>
      <c r="B83" s="7" t="s">
        <v>233</v>
      </c>
      <c r="C83" s="8">
        <v>256992.71</v>
      </c>
      <c r="D83" s="8">
        <v>47314.55</v>
      </c>
      <c r="E83" s="9">
        <v>0.18410852977113601</v>
      </c>
      <c r="F83" s="10" t="s">
        <v>17</v>
      </c>
      <c r="G83" s="10" t="s">
        <v>17</v>
      </c>
    </row>
    <row r="84" spans="1:7" x14ac:dyDescent="0.25">
      <c r="A84" s="12" t="s">
        <v>100</v>
      </c>
      <c r="B84" s="13" t="s">
        <v>225</v>
      </c>
      <c r="C84" s="14">
        <v>250077.6</v>
      </c>
      <c r="D84" s="14">
        <v>47312.81</v>
      </c>
      <c r="E84" s="15">
        <v>0.18919251464345499</v>
      </c>
      <c r="F84" s="16" t="s">
        <v>12</v>
      </c>
      <c r="G84" s="17">
        <f>(D84 / F84)</f>
        <v>10.513957777777778</v>
      </c>
    </row>
    <row r="85" spans="1:7" x14ac:dyDescent="0.25">
      <c r="A85" s="6" t="s">
        <v>101</v>
      </c>
      <c r="B85" s="7" t="s">
        <v>235</v>
      </c>
      <c r="C85" s="8">
        <v>239658.18</v>
      </c>
      <c r="D85" s="8">
        <v>25551.87</v>
      </c>
      <c r="E85" s="9">
        <v>0.106617975651822</v>
      </c>
      <c r="F85" s="10" t="s">
        <v>17</v>
      </c>
      <c r="G85" s="10" t="s">
        <v>17</v>
      </c>
    </row>
    <row r="86" spans="1:7" x14ac:dyDescent="0.25">
      <c r="A86" s="6" t="s">
        <v>102</v>
      </c>
      <c r="B86" s="7" t="s">
        <v>236</v>
      </c>
      <c r="C86" s="8">
        <v>226307.52</v>
      </c>
      <c r="D86" s="8">
        <v>73965.850000000006</v>
      </c>
      <c r="E86" s="9">
        <v>0.32683779133808699</v>
      </c>
      <c r="F86" s="10" t="s">
        <v>17</v>
      </c>
      <c r="G86" s="10" t="s">
        <v>17</v>
      </c>
    </row>
    <row r="87" spans="1:7" x14ac:dyDescent="0.25">
      <c r="A87" s="6" t="s">
        <v>103</v>
      </c>
      <c r="B87" s="7" t="s">
        <v>305</v>
      </c>
      <c r="C87" s="8">
        <v>212961.48</v>
      </c>
      <c r="D87" s="8">
        <v>158784.04999999999</v>
      </c>
      <c r="E87" s="9">
        <v>0.74559986153364499</v>
      </c>
      <c r="F87" s="10" t="s">
        <v>17</v>
      </c>
      <c r="G87" s="10" t="s">
        <v>17</v>
      </c>
    </row>
    <row r="88" spans="1:7" x14ac:dyDescent="0.25">
      <c r="A88" s="12" t="s">
        <v>104</v>
      </c>
      <c r="B88" s="13" t="s">
        <v>230</v>
      </c>
      <c r="C88" s="14">
        <v>202947.58</v>
      </c>
      <c r="D88" s="14">
        <v>44063.53</v>
      </c>
      <c r="E88" s="15">
        <v>0.217117789726786</v>
      </c>
      <c r="F88" s="16" t="s">
        <v>292</v>
      </c>
      <c r="G88" s="17">
        <f>(D88 / F88)</f>
        <v>11.909062162162162</v>
      </c>
    </row>
    <row r="89" spans="1:7" x14ac:dyDescent="0.25">
      <c r="A89" s="6" t="s">
        <v>105</v>
      </c>
      <c r="B89" s="7" t="s">
        <v>238</v>
      </c>
      <c r="C89" s="8">
        <v>199156.19</v>
      </c>
      <c r="D89" s="8">
        <v>12274.85</v>
      </c>
      <c r="E89" s="9">
        <v>6.1634288143391398E-2</v>
      </c>
      <c r="F89" s="10" t="s">
        <v>17</v>
      </c>
      <c r="G89" s="10" t="s">
        <v>17</v>
      </c>
    </row>
    <row r="90" spans="1:7" x14ac:dyDescent="0.25">
      <c r="A90" s="6" t="s">
        <v>106</v>
      </c>
      <c r="B90" s="7" t="s">
        <v>239</v>
      </c>
      <c r="C90" s="8">
        <v>192109.4</v>
      </c>
      <c r="D90" s="8">
        <v>159630.76999999999</v>
      </c>
      <c r="E90" s="9">
        <v>0.83093679955275501</v>
      </c>
      <c r="F90" s="10" t="s">
        <v>17</v>
      </c>
      <c r="G90" s="10" t="s">
        <v>17</v>
      </c>
    </row>
    <row r="91" spans="1:7" x14ac:dyDescent="0.25">
      <c r="A91" s="6" t="s">
        <v>107</v>
      </c>
      <c r="B91" s="7" t="s">
        <v>275</v>
      </c>
      <c r="C91" s="8">
        <v>182290.69</v>
      </c>
      <c r="D91" s="8">
        <v>20194.09</v>
      </c>
      <c r="E91" s="9">
        <v>0.11077960152545401</v>
      </c>
      <c r="F91" s="10" t="s">
        <v>17</v>
      </c>
      <c r="G91" s="10" t="s">
        <v>17</v>
      </c>
    </row>
    <row r="92" spans="1:7" x14ac:dyDescent="0.25">
      <c r="A92" s="6" t="s">
        <v>108</v>
      </c>
      <c r="B92" s="7" t="s">
        <v>240</v>
      </c>
      <c r="C92" s="8">
        <v>162025.01999999999</v>
      </c>
      <c r="D92" s="8">
        <v>12141.06</v>
      </c>
      <c r="E92" s="9">
        <v>7.4933241791915794E-2</v>
      </c>
      <c r="F92" s="10" t="s">
        <v>17</v>
      </c>
      <c r="G92" s="10" t="s">
        <v>17</v>
      </c>
    </row>
    <row r="93" spans="1:7" x14ac:dyDescent="0.25">
      <c r="A93" s="6" t="s">
        <v>109</v>
      </c>
      <c r="B93" s="7" t="s">
        <v>276</v>
      </c>
      <c r="C93" s="8">
        <v>154451.41</v>
      </c>
      <c r="D93" s="8">
        <v>19563.46</v>
      </c>
      <c r="E93" s="9">
        <v>0.12666417224679299</v>
      </c>
      <c r="F93" s="10" t="s">
        <v>17</v>
      </c>
      <c r="G93" s="10" t="s">
        <v>17</v>
      </c>
    </row>
    <row r="94" spans="1:7" x14ac:dyDescent="0.25">
      <c r="A94" s="6" t="s">
        <v>110</v>
      </c>
      <c r="B94" s="7" t="s">
        <v>307</v>
      </c>
      <c r="C94" s="8">
        <v>151528.28</v>
      </c>
      <c r="D94" s="8">
        <v>89372.73</v>
      </c>
      <c r="E94" s="9">
        <v>0.58980891223737297</v>
      </c>
      <c r="F94" s="10" t="s">
        <v>17</v>
      </c>
      <c r="G94" s="10" t="s">
        <v>17</v>
      </c>
    </row>
    <row r="95" spans="1:7" x14ac:dyDescent="0.25">
      <c r="A95" s="6" t="s">
        <v>111</v>
      </c>
      <c r="B95" s="7" t="s">
        <v>243</v>
      </c>
      <c r="C95" s="8">
        <v>149816.97</v>
      </c>
      <c r="D95" s="8">
        <v>11100.85</v>
      </c>
      <c r="E95" s="9">
        <v>7.4096078701898702E-2</v>
      </c>
      <c r="F95" s="10" t="s">
        <v>17</v>
      </c>
      <c r="G95" s="10" t="s">
        <v>17</v>
      </c>
    </row>
    <row r="96" spans="1:7" x14ac:dyDescent="0.25">
      <c r="A96" s="6" t="s">
        <v>112</v>
      </c>
      <c r="B96" s="7" t="s">
        <v>241</v>
      </c>
      <c r="C96" s="8">
        <v>144670.37</v>
      </c>
      <c r="D96" s="8">
        <v>18637.16</v>
      </c>
      <c r="E96" s="9">
        <v>0.12882499712968201</v>
      </c>
      <c r="F96" s="10" t="s">
        <v>16</v>
      </c>
      <c r="G96" s="11">
        <f>(D96 / F96)</f>
        <v>52.059106145251398</v>
      </c>
    </row>
    <row r="97" spans="1:7" x14ac:dyDescent="0.25">
      <c r="A97" s="6" t="s">
        <v>113</v>
      </c>
      <c r="B97" s="7" t="s">
        <v>244</v>
      </c>
      <c r="C97" s="8">
        <v>143347.81</v>
      </c>
      <c r="D97" s="8">
        <v>6045.47</v>
      </c>
      <c r="E97" s="9">
        <v>4.2173438157164699E-2</v>
      </c>
      <c r="F97" s="10" t="s">
        <v>17</v>
      </c>
      <c r="G97" s="10" t="s">
        <v>17</v>
      </c>
    </row>
    <row r="98" spans="1:7" x14ac:dyDescent="0.25">
      <c r="A98" s="6" t="s">
        <v>114</v>
      </c>
      <c r="B98" s="7" t="s">
        <v>320</v>
      </c>
      <c r="C98" s="8">
        <v>139196.29</v>
      </c>
      <c r="D98" s="8">
        <v>139196.29</v>
      </c>
      <c r="E98" s="9">
        <v>1</v>
      </c>
      <c r="F98" s="10" t="s">
        <v>17</v>
      </c>
      <c r="G98" s="10" t="s">
        <v>17</v>
      </c>
    </row>
    <row r="99" spans="1:7" x14ac:dyDescent="0.25">
      <c r="A99" s="6" t="s">
        <v>115</v>
      </c>
      <c r="B99" s="7" t="s">
        <v>246</v>
      </c>
      <c r="C99" s="8">
        <v>135410.29999999999</v>
      </c>
      <c r="D99" s="8">
        <v>9540.7900000000009</v>
      </c>
      <c r="E99" s="9">
        <v>7.0458377243090106E-2</v>
      </c>
      <c r="F99" s="10" t="s">
        <v>17</v>
      </c>
      <c r="G99" s="10" t="s">
        <v>17</v>
      </c>
    </row>
    <row r="100" spans="1:7" x14ac:dyDescent="0.25">
      <c r="A100" s="6" t="s">
        <v>116</v>
      </c>
      <c r="B100" s="7" t="s">
        <v>242</v>
      </c>
      <c r="C100" s="8">
        <v>132677.31</v>
      </c>
      <c r="D100" s="8">
        <v>48176.18</v>
      </c>
      <c r="E100" s="9">
        <v>0.363107904433697</v>
      </c>
      <c r="F100" s="10" t="s">
        <v>17</v>
      </c>
      <c r="G100" s="10" t="s">
        <v>17</v>
      </c>
    </row>
    <row r="101" spans="1:7" x14ac:dyDescent="0.25">
      <c r="A101" s="6" t="s">
        <v>117</v>
      </c>
      <c r="B101" s="7" t="s">
        <v>245</v>
      </c>
      <c r="C101" s="8">
        <v>127832.89</v>
      </c>
      <c r="D101" s="8">
        <v>8442.65</v>
      </c>
      <c r="E101" s="9">
        <v>6.6044427220568996E-2</v>
      </c>
      <c r="F101" s="10" t="s">
        <v>17</v>
      </c>
      <c r="G101" s="10" t="s">
        <v>17</v>
      </c>
    </row>
    <row r="102" spans="1:7" x14ac:dyDescent="0.25">
      <c r="A102" s="6" t="s">
        <v>118</v>
      </c>
      <c r="B102" s="7" t="s">
        <v>247</v>
      </c>
      <c r="C102" s="8">
        <v>126753.01</v>
      </c>
      <c r="D102" s="8">
        <v>20518.810000000001</v>
      </c>
      <c r="E102" s="9">
        <v>0.161880258307081</v>
      </c>
      <c r="F102" s="10" t="s">
        <v>17</v>
      </c>
      <c r="G102" s="10" t="s">
        <v>17</v>
      </c>
    </row>
    <row r="103" spans="1:7" x14ac:dyDescent="0.25">
      <c r="A103" s="6" t="s">
        <v>119</v>
      </c>
      <c r="B103" s="7" t="s">
        <v>306</v>
      </c>
      <c r="C103" s="8">
        <v>125531.18</v>
      </c>
      <c r="D103" s="8">
        <v>12129.77</v>
      </c>
      <c r="E103" s="9">
        <v>9.66275470365211E-2</v>
      </c>
      <c r="F103" s="10" t="s">
        <v>17</v>
      </c>
      <c r="G103" s="10" t="s">
        <v>17</v>
      </c>
    </row>
    <row r="104" spans="1:7" x14ac:dyDescent="0.25">
      <c r="A104" s="6" t="s">
        <v>120</v>
      </c>
      <c r="B104" s="7" t="s">
        <v>248</v>
      </c>
      <c r="C104" s="8">
        <v>113209.65</v>
      </c>
      <c r="D104" s="8">
        <v>4238.95</v>
      </c>
      <c r="E104" s="9">
        <v>3.7443362822868899E-2</v>
      </c>
      <c r="F104" s="10" t="s">
        <v>17</v>
      </c>
      <c r="G104" s="10" t="s">
        <v>17</v>
      </c>
    </row>
    <row r="105" spans="1:7" x14ac:dyDescent="0.25">
      <c r="A105" s="6" t="s">
        <v>121</v>
      </c>
      <c r="B105" s="7" t="s">
        <v>295</v>
      </c>
      <c r="C105" s="8">
        <v>110540.15</v>
      </c>
      <c r="D105" s="8">
        <v>12125.86</v>
      </c>
      <c r="E105" s="9">
        <v>0.109696431568077</v>
      </c>
      <c r="F105" s="10" t="s">
        <v>17</v>
      </c>
      <c r="G105" s="10" t="s">
        <v>17</v>
      </c>
    </row>
    <row r="106" spans="1:7" x14ac:dyDescent="0.25">
      <c r="A106" s="6" t="s">
        <v>122</v>
      </c>
      <c r="B106" s="7" t="s">
        <v>249</v>
      </c>
      <c r="C106" s="8">
        <v>101699.69</v>
      </c>
      <c r="D106" s="8">
        <v>13411.95</v>
      </c>
      <c r="E106" s="9">
        <v>0.13187798310889601</v>
      </c>
      <c r="F106" s="10" t="s">
        <v>17</v>
      </c>
      <c r="G106" s="10" t="s">
        <v>17</v>
      </c>
    </row>
    <row r="107" spans="1:7" x14ac:dyDescent="0.25">
      <c r="A107" s="6" t="s">
        <v>123</v>
      </c>
      <c r="B107" s="7" t="s">
        <v>309</v>
      </c>
      <c r="C107" s="8">
        <v>97117.99</v>
      </c>
      <c r="D107" s="8">
        <v>12491.18</v>
      </c>
      <c r="E107" s="9">
        <v>0.12861860094097899</v>
      </c>
      <c r="F107" s="10" t="s">
        <v>17</v>
      </c>
      <c r="G107" s="10" t="s">
        <v>17</v>
      </c>
    </row>
    <row r="108" spans="1:7" x14ac:dyDescent="0.25">
      <c r="A108" s="6" t="s">
        <v>124</v>
      </c>
      <c r="B108" s="7" t="s">
        <v>317</v>
      </c>
      <c r="C108" s="8">
        <v>89545.43</v>
      </c>
      <c r="D108" s="8">
        <v>596.53</v>
      </c>
      <c r="E108" s="9">
        <v>6.66175817124336E-3</v>
      </c>
      <c r="F108" s="10" t="s">
        <v>17</v>
      </c>
      <c r="G108" s="10" t="s">
        <v>17</v>
      </c>
    </row>
    <row r="109" spans="1:7" x14ac:dyDescent="0.25">
      <c r="A109" s="6" t="s">
        <v>125</v>
      </c>
      <c r="B109" s="7" t="s">
        <v>253</v>
      </c>
      <c r="C109" s="8">
        <v>83144.08</v>
      </c>
      <c r="D109" s="8">
        <v>6074.06</v>
      </c>
      <c r="E109" s="9">
        <v>7.3054629986885403E-2</v>
      </c>
      <c r="F109" s="10" t="s">
        <v>17</v>
      </c>
      <c r="G109" s="10" t="s">
        <v>17</v>
      </c>
    </row>
    <row r="110" spans="1:7" x14ac:dyDescent="0.25">
      <c r="A110" s="6" t="s">
        <v>126</v>
      </c>
      <c r="B110" s="7" t="s">
        <v>230</v>
      </c>
      <c r="C110" s="8">
        <v>73488.63</v>
      </c>
      <c r="D110" s="8">
        <v>8533.36</v>
      </c>
      <c r="E110" s="9">
        <v>0.116118098813381</v>
      </c>
      <c r="F110" s="10" t="s">
        <v>17</v>
      </c>
      <c r="G110" s="10" t="s">
        <v>17</v>
      </c>
    </row>
    <row r="111" spans="1:7" x14ac:dyDescent="0.25">
      <c r="A111" s="6" t="s">
        <v>127</v>
      </c>
      <c r="B111" s="7" t="s">
        <v>256</v>
      </c>
      <c r="C111" s="8">
        <v>71856.460000000006</v>
      </c>
      <c r="D111" s="8">
        <v>4764.42</v>
      </c>
      <c r="E111" s="9">
        <v>6.6304685758246398E-2</v>
      </c>
      <c r="F111" s="10" t="s">
        <v>17</v>
      </c>
      <c r="G111" s="10" t="s">
        <v>17</v>
      </c>
    </row>
    <row r="112" spans="1:7" x14ac:dyDescent="0.25">
      <c r="A112" s="6" t="s">
        <v>128</v>
      </c>
      <c r="B112" s="7" t="s">
        <v>255</v>
      </c>
      <c r="C112" s="8">
        <v>71391.41</v>
      </c>
      <c r="D112" s="8">
        <v>522.25</v>
      </c>
      <c r="E112" s="9">
        <v>7.3153058610272602E-3</v>
      </c>
      <c r="F112" s="10" t="s">
        <v>17</v>
      </c>
      <c r="G112" s="10" t="s">
        <v>17</v>
      </c>
    </row>
    <row r="113" spans="1:7" x14ac:dyDescent="0.25">
      <c r="A113" s="6" t="s">
        <v>129</v>
      </c>
      <c r="B113" s="7" t="s">
        <v>321</v>
      </c>
      <c r="C113" s="8">
        <v>71050.12</v>
      </c>
      <c r="D113" s="8">
        <v>42678.47</v>
      </c>
      <c r="E113" s="9">
        <v>0.60068118111552804</v>
      </c>
      <c r="F113" s="10" t="s">
        <v>17</v>
      </c>
      <c r="G113" s="10" t="s">
        <v>17</v>
      </c>
    </row>
    <row r="114" spans="1:7" x14ac:dyDescent="0.25">
      <c r="A114" s="6" t="s">
        <v>130</v>
      </c>
      <c r="B114" s="7" t="s">
        <v>258</v>
      </c>
      <c r="C114" s="8">
        <v>66466.509999999995</v>
      </c>
      <c r="D114" s="8">
        <v>4350.59</v>
      </c>
      <c r="E114" s="9">
        <v>6.5455369929909094E-2</v>
      </c>
      <c r="F114" s="10" t="s">
        <v>17</v>
      </c>
      <c r="G114" s="10" t="s">
        <v>17</v>
      </c>
    </row>
    <row r="115" spans="1:7" x14ac:dyDescent="0.25">
      <c r="A115" s="6" t="s">
        <v>131</v>
      </c>
      <c r="B115" s="7" t="s">
        <v>257</v>
      </c>
      <c r="C115" s="8">
        <v>55779.3</v>
      </c>
      <c r="D115" s="8">
        <v>1632.8</v>
      </c>
      <c r="E115" s="9">
        <v>2.9272507901676799E-2</v>
      </c>
      <c r="F115" s="10" t="s">
        <v>17</v>
      </c>
      <c r="G115" s="10" t="s">
        <v>17</v>
      </c>
    </row>
    <row r="116" spans="1:7" x14ac:dyDescent="0.25">
      <c r="A116" s="6" t="s">
        <v>132</v>
      </c>
      <c r="B116" s="7" t="s">
        <v>259</v>
      </c>
      <c r="C116" s="8">
        <v>53707.040000000001</v>
      </c>
      <c r="D116" s="8">
        <v>3814.4</v>
      </c>
      <c r="E116" s="9">
        <v>7.1022346418644494E-2</v>
      </c>
      <c r="F116" s="10" t="s">
        <v>17</v>
      </c>
      <c r="G116" s="10" t="s">
        <v>17</v>
      </c>
    </row>
    <row r="117" spans="1:7" x14ac:dyDescent="0.25">
      <c r="A117" s="6" t="s">
        <v>133</v>
      </c>
      <c r="B117" s="7" t="s">
        <v>262</v>
      </c>
      <c r="C117" s="8">
        <v>50730.35</v>
      </c>
      <c r="D117" s="8">
        <v>6375.01</v>
      </c>
      <c r="E117" s="9">
        <v>0.125664616940352</v>
      </c>
      <c r="F117" s="10" t="s">
        <v>17</v>
      </c>
      <c r="G117" s="10" t="s">
        <v>17</v>
      </c>
    </row>
    <row r="118" spans="1:7" x14ac:dyDescent="0.25">
      <c r="A118" s="6" t="s">
        <v>134</v>
      </c>
      <c r="B118" s="7" t="s">
        <v>291</v>
      </c>
      <c r="C118" s="8">
        <v>49193.19</v>
      </c>
      <c r="D118" s="8">
        <v>7085.83</v>
      </c>
      <c r="E118" s="9">
        <v>0.14404087232399401</v>
      </c>
      <c r="F118" s="10" t="s">
        <v>17</v>
      </c>
      <c r="G118" s="10" t="s">
        <v>17</v>
      </c>
    </row>
    <row r="119" spans="1:7" x14ac:dyDescent="0.25">
      <c r="A119" s="6" t="s">
        <v>135</v>
      </c>
      <c r="B119" s="7" t="s">
        <v>329</v>
      </c>
      <c r="C119" s="8">
        <v>42490.07</v>
      </c>
      <c r="D119" s="8">
        <v>3967.33</v>
      </c>
      <c r="E119" s="9">
        <v>9.33707569792189E-2</v>
      </c>
      <c r="F119" s="10" t="s">
        <v>17</v>
      </c>
      <c r="G119" s="10" t="s">
        <v>17</v>
      </c>
    </row>
    <row r="120" spans="1:7" x14ac:dyDescent="0.25">
      <c r="A120" s="6" t="s">
        <v>136</v>
      </c>
      <c r="B120" s="7" t="s">
        <v>260</v>
      </c>
      <c r="C120" s="8">
        <v>41592.660000000003</v>
      </c>
      <c r="D120" s="8">
        <v>379.36</v>
      </c>
      <c r="E120" s="9">
        <v>9.1208400713010396E-3</v>
      </c>
      <c r="F120" s="10" t="s">
        <v>17</v>
      </c>
      <c r="G120" s="10" t="s">
        <v>17</v>
      </c>
    </row>
    <row r="121" spans="1:7" x14ac:dyDescent="0.25">
      <c r="A121" s="6" t="s">
        <v>137</v>
      </c>
      <c r="B121" s="7" t="s">
        <v>283</v>
      </c>
      <c r="C121" s="8">
        <v>40995.89</v>
      </c>
      <c r="D121" s="8">
        <v>509.96</v>
      </c>
      <c r="E121" s="9">
        <v>1.24392957440368E-2</v>
      </c>
      <c r="F121" s="10" t="s">
        <v>17</v>
      </c>
      <c r="G121" s="10" t="s">
        <v>17</v>
      </c>
    </row>
    <row r="122" spans="1:7" x14ac:dyDescent="0.25">
      <c r="A122" s="6" t="s">
        <v>138</v>
      </c>
      <c r="B122" s="7" t="s">
        <v>310</v>
      </c>
      <c r="C122" s="8">
        <v>40360.89</v>
      </c>
      <c r="D122" s="8">
        <v>8090.51</v>
      </c>
      <c r="E122" s="9">
        <v>0.20045420207532599</v>
      </c>
      <c r="F122" s="10" t="s">
        <v>17</v>
      </c>
      <c r="G122" s="10" t="s">
        <v>17</v>
      </c>
    </row>
    <row r="123" spans="1:7" x14ac:dyDescent="0.25">
      <c r="A123" s="6" t="s">
        <v>139</v>
      </c>
      <c r="B123" s="7" t="s">
        <v>263</v>
      </c>
      <c r="C123" s="8">
        <v>37066.43</v>
      </c>
      <c r="D123" s="8">
        <v>1037.97</v>
      </c>
      <c r="E123" s="9">
        <v>2.80029665657038E-2</v>
      </c>
      <c r="F123" s="10" t="s">
        <v>17</v>
      </c>
      <c r="G123" s="10" t="s">
        <v>17</v>
      </c>
    </row>
    <row r="124" spans="1:7" x14ac:dyDescent="0.25">
      <c r="A124" s="6" t="s">
        <v>140</v>
      </c>
      <c r="B124" s="7" t="s">
        <v>251</v>
      </c>
      <c r="C124" s="8">
        <v>35904.15</v>
      </c>
      <c r="D124" s="8">
        <v>1965.27</v>
      </c>
      <c r="E124" s="9">
        <v>5.4736569449492602E-2</v>
      </c>
      <c r="F124" s="10" t="s">
        <v>17</v>
      </c>
      <c r="G124" s="10" t="s">
        <v>17</v>
      </c>
    </row>
    <row r="125" spans="1:7" x14ac:dyDescent="0.25">
      <c r="A125" s="6" t="s">
        <v>141</v>
      </c>
      <c r="B125" s="7" t="s">
        <v>266</v>
      </c>
      <c r="C125" s="8">
        <v>34339.68</v>
      </c>
      <c r="D125" s="8">
        <v>11671.2</v>
      </c>
      <c r="E125" s="9">
        <v>0.339875036692246</v>
      </c>
      <c r="F125" s="10" t="s">
        <v>17</v>
      </c>
      <c r="G125" s="10" t="s">
        <v>17</v>
      </c>
    </row>
    <row r="126" spans="1:7" x14ac:dyDescent="0.25">
      <c r="A126" s="6" t="s">
        <v>142</v>
      </c>
      <c r="B126" s="7" t="s">
        <v>265</v>
      </c>
      <c r="C126" s="8">
        <v>31595.59</v>
      </c>
      <c r="D126" s="8">
        <v>4959.79</v>
      </c>
      <c r="E126" s="9">
        <v>0.15697728702011901</v>
      </c>
      <c r="F126" s="10" t="s">
        <v>17</v>
      </c>
      <c r="G126" s="10" t="s">
        <v>17</v>
      </c>
    </row>
    <row r="127" spans="1:7" x14ac:dyDescent="0.25">
      <c r="A127" s="6" t="s">
        <v>143</v>
      </c>
      <c r="B127" s="7" t="s">
        <v>264</v>
      </c>
      <c r="C127" s="8">
        <v>30817.84</v>
      </c>
      <c r="D127" s="8">
        <v>1355.97</v>
      </c>
      <c r="E127" s="9">
        <v>4.39995145668872E-2</v>
      </c>
      <c r="F127" s="10" t="s">
        <v>17</v>
      </c>
      <c r="G127" s="10" t="s">
        <v>17</v>
      </c>
    </row>
    <row r="128" spans="1:7" x14ac:dyDescent="0.25">
      <c r="A128" s="6" t="s">
        <v>144</v>
      </c>
      <c r="B128" s="7" t="s">
        <v>311</v>
      </c>
      <c r="C128" s="8">
        <v>28023.57</v>
      </c>
      <c r="D128" s="8">
        <v>2416.33</v>
      </c>
      <c r="E128" s="9">
        <v>8.6224917096572595E-2</v>
      </c>
      <c r="F128" s="10" t="s">
        <v>17</v>
      </c>
      <c r="G128" s="10" t="s">
        <v>17</v>
      </c>
    </row>
    <row r="129" spans="1:7" x14ac:dyDescent="0.25">
      <c r="A129" s="6" t="s">
        <v>145</v>
      </c>
      <c r="B129" s="7" t="s">
        <v>268</v>
      </c>
      <c r="C129" s="8">
        <v>17303.75</v>
      </c>
      <c r="D129" s="8">
        <v>889.39</v>
      </c>
      <c r="E129" s="9">
        <v>5.1398685256086103E-2</v>
      </c>
      <c r="F129" s="10" t="s">
        <v>17</v>
      </c>
      <c r="G129" s="10" t="s">
        <v>17</v>
      </c>
    </row>
    <row r="130" spans="1:7" x14ac:dyDescent="0.25">
      <c r="A130" s="6" t="s">
        <v>146</v>
      </c>
      <c r="B130" s="7" t="s">
        <v>267</v>
      </c>
      <c r="C130" s="8">
        <v>17260.41</v>
      </c>
      <c r="D130" s="8">
        <v>1257.6300000000001</v>
      </c>
      <c r="E130" s="9">
        <v>7.2862116253321896E-2</v>
      </c>
      <c r="F130" s="10" t="s">
        <v>17</v>
      </c>
      <c r="G130" s="10" t="s">
        <v>17</v>
      </c>
    </row>
    <row r="131" spans="1:7" x14ac:dyDescent="0.25">
      <c r="A131" s="6" t="s">
        <v>147</v>
      </c>
      <c r="B131" s="7" t="s">
        <v>269</v>
      </c>
      <c r="C131" s="8">
        <v>14699.55</v>
      </c>
      <c r="D131" s="8">
        <v>1507.12</v>
      </c>
      <c r="E131" s="9">
        <v>0.102528308689722</v>
      </c>
      <c r="F131" s="10" t="s">
        <v>17</v>
      </c>
      <c r="G131" s="10" t="s">
        <v>17</v>
      </c>
    </row>
    <row r="132" spans="1:7" x14ac:dyDescent="0.25">
      <c r="A132" s="6" t="s">
        <v>148</v>
      </c>
      <c r="B132" s="7" t="s">
        <v>270</v>
      </c>
      <c r="C132" s="8">
        <v>14526.36</v>
      </c>
      <c r="D132" s="8">
        <v>120.25</v>
      </c>
      <c r="E132" s="9">
        <v>8.2780545160659694E-3</v>
      </c>
      <c r="F132" s="10" t="s">
        <v>17</v>
      </c>
      <c r="G132" s="10" t="s">
        <v>17</v>
      </c>
    </row>
    <row r="133" spans="1:7" x14ac:dyDescent="0.25">
      <c r="A133" s="6" t="s">
        <v>149</v>
      </c>
      <c r="B133" s="7" t="s">
        <v>277</v>
      </c>
      <c r="C133" s="8">
        <v>13722.41</v>
      </c>
      <c r="D133" s="8">
        <v>807.71</v>
      </c>
      <c r="E133" s="9">
        <v>5.8860652028324502E-2</v>
      </c>
      <c r="F133" s="10" t="s">
        <v>17</v>
      </c>
      <c r="G133" s="10" t="s">
        <v>17</v>
      </c>
    </row>
    <row r="134" spans="1:7" x14ac:dyDescent="0.25">
      <c r="A134" s="6" t="s">
        <v>150</v>
      </c>
      <c r="B134" s="7" t="s">
        <v>286</v>
      </c>
      <c r="C134" s="8">
        <v>7826.08</v>
      </c>
      <c r="D134" s="8">
        <v>81.739999999999995</v>
      </c>
      <c r="E134" s="9">
        <v>1.04445648396132E-2</v>
      </c>
      <c r="F134" s="10" t="s">
        <v>17</v>
      </c>
      <c r="G134" s="10" t="s">
        <v>17</v>
      </c>
    </row>
    <row r="135" spans="1:7" x14ac:dyDescent="0.25">
      <c r="A135" s="6" t="s">
        <v>151</v>
      </c>
      <c r="B135" s="7" t="s">
        <v>322</v>
      </c>
      <c r="C135" s="8">
        <v>3751.13</v>
      </c>
      <c r="D135" s="8">
        <v>37.25</v>
      </c>
      <c r="E135" s="9">
        <v>9.9303409905815102E-3</v>
      </c>
      <c r="F135" s="10" t="s">
        <v>17</v>
      </c>
      <c r="G135" s="10" t="s">
        <v>17</v>
      </c>
    </row>
    <row r="136" spans="1:7" x14ac:dyDescent="0.25">
      <c r="A136" s="6" t="s">
        <v>152</v>
      </c>
      <c r="B136" s="7" t="s">
        <v>312</v>
      </c>
      <c r="C136" s="8">
        <v>2442.17</v>
      </c>
      <c r="D136" s="8">
        <v>52.68</v>
      </c>
      <c r="E136" s="9">
        <v>2.1570979907213701E-2</v>
      </c>
      <c r="F136" s="10" t="s">
        <v>17</v>
      </c>
      <c r="G136" s="10" t="s">
        <v>17</v>
      </c>
    </row>
    <row r="137" spans="1:7" x14ac:dyDescent="0.25">
      <c r="A137" s="6" t="s">
        <v>153</v>
      </c>
      <c r="B137" s="7" t="s">
        <v>313</v>
      </c>
      <c r="C137" s="8">
        <v>1904.71</v>
      </c>
      <c r="D137" s="8">
        <v>285.01</v>
      </c>
      <c r="E137" s="9">
        <v>0.14963432753542499</v>
      </c>
      <c r="F137" s="10" t="s">
        <v>17</v>
      </c>
      <c r="G137" s="10" t="s">
        <v>17</v>
      </c>
    </row>
    <row r="138" spans="1:7" x14ac:dyDescent="0.25">
      <c r="A138" s="6" t="s">
        <v>154</v>
      </c>
      <c r="B138" s="7" t="s">
        <v>323</v>
      </c>
      <c r="C138" s="8">
        <v>1000.02</v>
      </c>
      <c r="D138" s="8">
        <v>1000.02</v>
      </c>
      <c r="E138" s="9">
        <v>1</v>
      </c>
      <c r="F138" s="10" t="s">
        <v>17</v>
      </c>
      <c r="G138" s="10" t="s">
        <v>17</v>
      </c>
    </row>
    <row r="139" spans="1:7" x14ac:dyDescent="0.25">
      <c r="A139" s="6" t="s">
        <v>155</v>
      </c>
      <c r="B139" s="7" t="s">
        <v>324</v>
      </c>
      <c r="C139" s="8">
        <v>493.7</v>
      </c>
      <c r="D139" s="8">
        <v>81.819999999999993</v>
      </c>
      <c r="E139" s="9">
        <v>0.16572817500506401</v>
      </c>
      <c r="F139" s="10" t="s">
        <v>17</v>
      </c>
      <c r="G139" s="10" t="s">
        <v>17</v>
      </c>
    </row>
    <row r="140" spans="1:7" x14ac:dyDescent="0.25">
      <c r="A140" s="6" t="s">
        <v>156</v>
      </c>
      <c r="B140" s="7" t="s">
        <v>318</v>
      </c>
      <c r="C140" s="8">
        <v>299.95</v>
      </c>
      <c r="D140" s="8">
        <v>299.95</v>
      </c>
      <c r="E140" s="9">
        <v>1</v>
      </c>
      <c r="F140" s="10" t="s">
        <v>17</v>
      </c>
      <c r="G140" s="10" t="s">
        <v>17</v>
      </c>
    </row>
    <row r="141" spans="1:7" x14ac:dyDescent="0.25">
      <c r="A141" s="6" t="s">
        <v>328</v>
      </c>
      <c r="B141" s="7" t="s">
        <v>319</v>
      </c>
      <c r="C141" s="8">
        <v>0</v>
      </c>
      <c r="D141" s="8">
        <v>0</v>
      </c>
      <c r="E141" s="9">
        <v>0</v>
      </c>
      <c r="F141" s="10" t="s">
        <v>17</v>
      </c>
      <c r="G141" s="10" t="s">
        <v>17</v>
      </c>
    </row>
    <row r="142" spans="1:7" x14ac:dyDescent="0.25">
      <c r="C142" s="8"/>
      <c r="D142" s="8"/>
      <c r="E142" s="9"/>
    </row>
    <row r="143" spans="1:7" x14ac:dyDescent="0.25">
      <c r="C143" s="8"/>
      <c r="D143" s="8"/>
      <c r="E143" s="9"/>
    </row>
    <row r="144" spans="1:7" x14ac:dyDescent="0.25">
      <c r="C144" s="8"/>
      <c r="D144" s="8"/>
      <c r="E144" s="9"/>
    </row>
    <row r="145" spans="1:7" x14ac:dyDescent="0.25">
      <c r="C145" s="8"/>
      <c r="D145" s="8" t="s">
        <v>298</v>
      </c>
      <c r="E145" s="9"/>
    </row>
    <row r="146" spans="1:7" ht="31.5" x14ac:dyDescent="0.25">
      <c r="A146" s="18"/>
      <c r="B146" s="19" t="s">
        <v>157</v>
      </c>
      <c r="C146" s="3" t="s">
        <v>158</v>
      </c>
      <c r="D146" s="3" t="s">
        <v>159</v>
      </c>
      <c r="E146" s="4" t="s">
        <v>160</v>
      </c>
      <c r="F146" s="5" t="s">
        <v>161</v>
      </c>
      <c r="G146" s="5" t="s">
        <v>162</v>
      </c>
    </row>
    <row r="147" spans="1:7" x14ac:dyDescent="0.25">
      <c r="A147" s="6" t="s">
        <v>18</v>
      </c>
      <c r="B147" s="7" t="s">
        <v>315</v>
      </c>
      <c r="C147" s="8">
        <v>3000329.6</v>
      </c>
      <c r="D147" s="8">
        <v>3000329.6</v>
      </c>
      <c r="E147" s="9">
        <v>1</v>
      </c>
      <c r="F147" s="10" t="s">
        <v>17</v>
      </c>
      <c r="G147" s="10" t="s">
        <v>17</v>
      </c>
    </row>
    <row r="148" spans="1:7" x14ac:dyDescent="0.25">
      <c r="A148" s="6" t="s">
        <v>19</v>
      </c>
      <c r="B148" s="7" t="s">
        <v>183</v>
      </c>
      <c r="C148" s="8">
        <v>1274141.1599999999</v>
      </c>
      <c r="D148" s="8">
        <v>203094.28</v>
      </c>
      <c r="E148" s="9">
        <v>0.15939700119255201</v>
      </c>
      <c r="F148" s="10" t="s">
        <v>17</v>
      </c>
      <c r="G148" s="10" t="s">
        <v>17</v>
      </c>
    </row>
    <row r="149" spans="1:7" x14ac:dyDescent="0.25">
      <c r="A149" s="6" t="s">
        <v>20</v>
      </c>
      <c r="B149" s="7" t="s">
        <v>165</v>
      </c>
      <c r="C149" s="8">
        <v>1126862.7</v>
      </c>
      <c r="D149" s="8">
        <v>1117478.24</v>
      </c>
      <c r="E149" s="9">
        <v>0.991672046647742</v>
      </c>
      <c r="F149" s="10" t="s">
        <v>17</v>
      </c>
      <c r="G149" s="10" t="s">
        <v>17</v>
      </c>
    </row>
    <row r="150" spans="1:7" x14ac:dyDescent="0.25">
      <c r="A150" s="6" t="s">
        <v>21</v>
      </c>
      <c r="B150" s="7" t="s">
        <v>244</v>
      </c>
      <c r="C150" s="8">
        <v>975008.49</v>
      </c>
      <c r="D150" s="8">
        <v>751.15</v>
      </c>
      <c r="E150" s="9">
        <v>7.7040354797320795E-4</v>
      </c>
      <c r="F150" s="10" t="s">
        <v>17</v>
      </c>
      <c r="G150" s="10" t="s">
        <v>17</v>
      </c>
    </row>
    <row r="151" spans="1:7" x14ac:dyDescent="0.25">
      <c r="A151" s="6" t="s">
        <v>22</v>
      </c>
      <c r="B151" s="7" t="s">
        <v>278</v>
      </c>
      <c r="C151" s="8">
        <v>708915.07</v>
      </c>
      <c r="D151" s="8">
        <v>291853.13</v>
      </c>
      <c r="E151" s="9">
        <v>0.41168983754288102</v>
      </c>
      <c r="F151" s="10" t="s">
        <v>17</v>
      </c>
      <c r="G151" s="10" t="s">
        <v>17</v>
      </c>
    </row>
    <row r="152" spans="1:7" x14ac:dyDescent="0.25">
      <c r="A152" s="6" t="s">
        <v>23</v>
      </c>
      <c r="B152" s="7" t="s">
        <v>325</v>
      </c>
      <c r="C152" s="8">
        <v>589922</v>
      </c>
      <c r="D152" s="8">
        <v>589922</v>
      </c>
      <c r="E152" s="9">
        <v>1</v>
      </c>
      <c r="F152" s="10" t="s">
        <v>17</v>
      </c>
      <c r="G152" s="10" t="s">
        <v>17</v>
      </c>
    </row>
    <row r="153" spans="1:7" x14ac:dyDescent="0.25">
      <c r="A153" s="6" t="s">
        <v>24</v>
      </c>
      <c r="B153" s="7" t="s">
        <v>182</v>
      </c>
      <c r="C153" s="8">
        <v>516673.13</v>
      </c>
      <c r="D153" s="8">
        <v>516673.13</v>
      </c>
      <c r="E153" s="9">
        <v>1</v>
      </c>
      <c r="F153" s="10" t="s">
        <v>17</v>
      </c>
      <c r="G153" s="10" t="s">
        <v>17</v>
      </c>
    </row>
    <row r="154" spans="1:7" x14ac:dyDescent="0.25">
      <c r="A154" s="6" t="s">
        <v>25</v>
      </c>
      <c r="B154" s="7" t="s">
        <v>189</v>
      </c>
      <c r="C154" s="8">
        <v>293540.15999999997</v>
      </c>
      <c r="D154" s="8">
        <v>293540.15999999997</v>
      </c>
      <c r="E154" s="9">
        <v>1</v>
      </c>
      <c r="F154" s="10" t="s">
        <v>17</v>
      </c>
      <c r="G154" s="10" t="s">
        <v>17</v>
      </c>
    </row>
    <row r="155" spans="1:7" x14ac:dyDescent="0.25">
      <c r="A155" s="6" t="s">
        <v>26</v>
      </c>
      <c r="B155" s="7" t="s">
        <v>280</v>
      </c>
      <c r="C155" s="8">
        <v>220226.08</v>
      </c>
      <c r="D155" s="8">
        <v>887.73</v>
      </c>
      <c r="E155" s="9">
        <v>4.0309939676535997E-3</v>
      </c>
      <c r="F155" s="10" t="s">
        <v>17</v>
      </c>
      <c r="G155" s="10" t="s">
        <v>17</v>
      </c>
    </row>
    <row r="156" spans="1:7" x14ac:dyDescent="0.25">
      <c r="A156" s="6" t="s">
        <v>27</v>
      </c>
      <c r="B156" s="7" t="s">
        <v>173</v>
      </c>
      <c r="C156" s="8">
        <v>209744.46</v>
      </c>
      <c r="D156" s="8">
        <v>28541.66</v>
      </c>
      <c r="E156" s="9">
        <v>0.136078254462597</v>
      </c>
      <c r="F156" s="10" t="s">
        <v>17</v>
      </c>
      <c r="G156" s="10" t="s">
        <v>17</v>
      </c>
    </row>
    <row r="157" spans="1:7" x14ac:dyDescent="0.25">
      <c r="A157" s="6" t="s">
        <v>28</v>
      </c>
      <c r="B157" s="7" t="s">
        <v>205</v>
      </c>
      <c r="C157" s="8">
        <v>207054.76</v>
      </c>
      <c r="D157" s="8">
        <v>23301.82</v>
      </c>
      <c r="E157" s="9">
        <v>0.11253940744950799</v>
      </c>
      <c r="F157" s="10" t="s">
        <v>17</v>
      </c>
      <c r="G157" s="10" t="s">
        <v>17</v>
      </c>
    </row>
    <row r="158" spans="1:7" x14ac:dyDescent="0.25">
      <c r="A158" s="6" t="s">
        <v>29</v>
      </c>
      <c r="B158" s="7" t="s">
        <v>186</v>
      </c>
      <c r="C158" s="8">
        <v>202257.15</v>
      </c>
      <c r="D158" s="8">
        <v>202257.15</v>
      </c>
      <c r="E158" s="9">
        <v>1</v>
      </c>
      <c r="F158" s="10" t="s">
        <v>17</v>
      </c>
      <c r="G158" s="10" t="s">
        <v>17</v>
      </c>
    </row>
    <row r="159" spans="1:7" x14ac:dyDescent="0.25">
      <c r="A159" s="6" t="s">
        <v>30</v>
      </c>
      <c r="B159" s="7" t="s">
        <v>224</v>
      </c>
      <c r="C159" s="8">
        <v>201401.3</v>
      </c>
      <c r="D159" s="8">
        <v>201401.3</v>
      </c>
      <c r="E159" s="9">
        <v>1</v>
      </c>
      <c r="F159" s="10" t="s">
        <v>17</v>
      </c>
      <c r="G159" s="10" t="s">
        <v>17</v>
      </c>
    </row>
    <row r="160" spans="1:7" x14ac:dyDescent="0.25">
      <c r="A160" s="6" t="s">
        <v>31</v>
      </c>
      <c r="B160" s="7" t="s">
        <v>195</v>
      </c>
      <c r="C160" s="8">
        <v>176032.13</v>
      </c>
      <c r="D160" s="8">
        <v>75877</v>
      </c>
      <c r="E160" s="9">
        <v>0.43104062877612198</v>
      </c>
      <c r="F160" s="10" t="s">
        <v>17</v>
      </c>
      <c r="G160" s="10" t="s">
        <v>17</v>
      </c>
    </row>
    <row r="161" spans="1:7" x14ac:dyDescent="0.25">
      <c r="A161" s="6" t="s">
        <v>32</v>
      </c>
      <c r="B161" s="7" t="s">
        <v>180</v>
      </c>
      <c r="C161" s="8">
        <v>157959.22</v>
      </c>
      <c r="D161" s="8">
        <v>1251.25</v>
      </c>
      <c r="E161" s="9">
        <v>7.9213483074935392E-3</v>
      </c>
      <c r="F161" s="10" t="s">
        <v>17</v>
      </c>
      <c r="G161" s="10" t="s">
        <v>17</v>
      </c>
    </row>
    <row r="162" spans="1:7" x14ac:dyDescent="0.25">
      <c r="A162" s="6" t="s">
        <v>33</v>
      </c>
      <c r="B162" s="7" t="s">
        <v>163</v>
      </c>
      <c r="C162" s="8">
        <v>150063.67999999999</v>
      </c>
      <c r="D162" s="8">
        <v>50.14</v>
      </c>
      <c r="E162" s="9">
        <v>3.3412481954327698E-4</v>
      </c>
      <c r="F162" s="10" t="s">
        <v>17</v>
      </c>
      <c r="G162" s="10" t="s">
        <v>17</v>
      </c>
    </row>
    <row r="163" spans="1:7" x14ac:dyDescent="0.25">
      <c r="A163" s="6" t="s">
        <v>34</v>
      </c>
      <c r="B163" s="7" t="s">
        <v>211</v>
      </c>
      <c r="C163" s="8">
        <v>145431</v>
      </c>
      <c r="D163" s="8">
        <v>12266.13</v>
      </c>
      <c r="E163" s="9">
        <v>8.4343296821172906E-2</v>
      </c>
      <c r="F163" s="10" t="s">
        <v>17</v>
      </c>
      <c r="G163" s="10" t="s">
        <v>17</v>
      </c>
    </row>
    <row r="164" spans="1:7" x14ac:dyDescent="0.25">
      <c r="A164" s="6" t="s">
        <v>35</v>
      </c>
      <c r="B164" s="7" t="s">
        <v>254</v>
      </c>
      <c r="C164" s="8">
        <v>138969.68</v>
      </c>
      <c r="D164" s="8">
        <v>15531.11</v>
      </c>
      <c r="E164" s="9">
        <v>0.111758982247063</v>
      </c>
      <c r="F164" s="10" t="s">
        <v>17</v>
      </c>
      <c r="G164" s="10" t="s">
        <v>17</v>
      </c>
    </row>
    <row r="165" spans="1:7" x14ac:dyDescent="0.25">
      <c r="A165" s="6" t="s">
        <v>36</v>
      </c>
      <c r="B165" s="7" t="s">
        <v>279</v>
      </c>
      <c r="C165" s="8">
        <v>134908.72</v>
      </c>
      <c r="D165" s="8">
        <v>134908.72</v>
      </c>
      <c r="E165" s="9">
        <v>1</v>
      </c>
      <c r="F165" s="10" t="s">
        <v>17</v>
      </c>
      <c r="G165" s="10" t="s">
        <v>17</v>
      </c>
    </row>
    <row r="166" spans="1:7" x14ac:dyDescent="0.25">
      <c r="A166" s="6" t="s">
        <v>37</v>
      </c>
      <c r="B166" s="7" t="s">
        <v>187</v>
      </c>
      <c r="C166" s="8">
        <v>131167.23000000001</v>
      </c>
      <c r="D166" s="8">
        <v>131167.23000000001</v>
      </c>
      <c r="E166" s="9">
        <v>1</v>
      </c>
      <c r="F166" s="10" t="s">
        <v>17</v>
      </c>
      <c r="G166" s="10" t="s">
        <v>17</v>
      </c>
    </row>
    <row r="167" spans="1:7" x14ac:dyDescent="0.25">
      <c r="A167" s="6" t="s">
        <v>38</v>
      </c>
      <c r="B167" s="7" t="s">
        <v>303</v>
      </c>
      <c r="C167" s="8">
        <v>121006.87</v>
      </c>
      <c r="D167" s="8">
        <v>121006.87</v>
      </c>
      <c r="E167" s="9">
        <v>1</v>
      </c>
      <c r="F167" s="10" t="s">
        <v>17</v>
      </c>
      <c r="G167" s="10" t="s">
        <v>17</v>
      </c>
    </row>
    <row r="168" spans="1:7" x14ac:dyDescent="0.25">
      <c r="A168" s="6" t="s">
        <v>39</v>
      </c>
      <c r="B168" s="7" t="s">
        <v>215</v>
      </c>
      <c r="C168" s="8">
        <v>119911.31</v>
      </c>
      <c r="D168" s="8">
        <v>935.69</v>
      </c>
      <c r="E168" s="9">
        <v>7.8031838698117799E-3</v>
      </c>
      <c r="F168" s="10" t="s">
        <v>17</v>
      </c>
      <c r="G168" s="10" t="s">
        <v>17</v>
      </c>
    </row>
    <row r="169" spans="1:7" x14ac:dyDescent="0.25">
      <c r="A169" s="6" t="s">
        <v>40</v>
      </c>
      <c r="B169" s="7" t="s">
        <v>308</v>
      </c>
      <c r="C169" s="8">
        <v>98943.129300000001</v>
      </c>
      <c r="D169" s="8">
        <v>2017.19</v>
      </c>
      <c r="E169" s="9">
        <v>2.0387368120163101E-2</v>
      </c>
      <c r="F169" s="10" t="s">
        <v>17</v>
      </c>
      <c r="G169" s="10" t="s">
        <v>17</v>
      </c>
    </row>
    <row r="170" spans="1:7" x14ac:dyDescent="0.25">
      <c r="A170" s="6" t="s">
        <v>41</v>
      </c>
      <c r="B170" s="7" t="s">
        <v>294</v>
      </c>
      <c r="C170" s="8">
        <v>83511.429999999993</v>
      </c>
      <c r="D170" s="8">
        <v>46107.81</v>
      </c>
      <c r="E170" s="9">
        <v>0.55211376454696104</v>
      </c>
      <c r="F170" s="10" t="s">
        <v>17</v>
      </c>
      <c r="G170" s="10" t="s">
        <v>17</v>
      </c>
    </row>
    <row r="171" spans="1:7" x14ac:dyDescent="0.25">
      <c r="A171" s="6" t="s">
        <v>42</v>
      </c>
      <c r="B171" s="7" t="s">
        <v>184</v>
      </c>
      <c r="C171" s="8">
        <v>80131.839999999997</v>
      </c>
      <c r="D171" s="8">
        <v>80131.839999999997</v>
      </c>
      <c r="E171" s="9">
        <v>1</v>
      </c>
      <c r="F171" s="10" t="s">
        <v>17</v>
      </c>
      <c r="G171" s="10" t="s">
        <v>17</v>
      </c>
    </row>
    <row r="172" spans="1:7" x14ac:dyDescent="0.25">
      <c r="A172" s="6" t="s">
        <v>43</v>
      </c>
      <c r="B172" s="7" t="s">
        <v>280</v>
      </c>
      <c r="C172" s="8">
        <v>77149.240000000005</v>
      </c>
      <c r="D172" s="8">
        <v>1167</v>
      </c>
      <c r="E172" s="9">
        <v>1.51265261977953E-2</v>
      </c>
      <c r="F172" s="10" t="s">
        <v>17</v>
      </c>
      <c r="G172" s="10" t="s">
        <v>17</v>
      </c>
    </row>
    <row r="173" spans="1:7" x14ac:dyDescent="0.25">
      <c r="A173" s="6" t="s">
        <v>44</v>
      </c>
      <c r="B173" s="7" t="s">
        <v>284</v>
      </c>
      <c r="C173" s="8">
        <v>58548.78</v>
      </c>
      <c r="D173" s="8">
        <v>11313.96</v>
      </c>
      <c r="E173" s="9">
        <v>0.193239893299228</v>
      </c>
      <c r="F173" s="10" t="s">
        <v>17</v>
      </c>
      <c r="G173" s="10" t="s">
        <v>17</v>
      </c>
    </row>
    <row r="174" spans="1:7" x14ac:dyDescent="0.25">
      <c r="A174" s="6" t="s">
        <v>45</v>
      </c>
      <c r="B174" s="7" t="s">
        <v>175</v>
      </c>
      <c r="C174" s="8">
        <v>57342.77</v>
      </c>
      <c r="D174" s="8">
        <v>57342.77</v>
      </c>
      <c r="E174" s="9">
        <v>1</v>
      </c>
      <c r="F174" s="10" t="s">
        <v>17</v>
      </c>
      <c r="G174" s="10" t="s">
        <v>17</v>
      </c>
    </row>
    <row r="175" spans="1:7" x14ac:dyDescent="0.25">
      <c r="A175" s="6" t="s">
        <v>46</v>
      </c>
      <c r="B175" s="7" t="s">
        <v>227</v>
      </c>
      <c r="C175" s="8">
        <v>50059.42</v>
      </c>
      <c r="D175" s="8">
        <v>50059.42</v>
      </c>
      <c r="E175" s="9">
        <v>1</v>
      </c>
      <c r="F175" s="10" t="s">
        <v>17</v>
      </c>
      <c r="G175" s="10" t="s">
        <v>17</v>
      </c>
    </row>
    <row r="176" spans="1:7" x14ac:dyDescent="0.25">
      <c r="A176" s="6" t="s">
        <v>47</v>
      </c>
      <c r="B176" s="7" t="s">
        <v>248</v>
      </c>
      <c r="C176" s="8">
        <v>37314.75</v>
      </c>
      <c r="D176" s="8">
        <v>37314.75</v>
      </c>
      <c r="E176" s="9">
        <v>1</v>
      </c>
      <c r="F176" s="10" t="s">
        <v>17</v>
      </c>
      <c r="G176" s="10" t="s">
        <v>17</v>
      </c>
    </row>
    <row r="177" spans="1:7" x14ac:dyDescent="0.25">
      <c r="A177" s="6" t="s">
        <v>48</v>
      </c>
      <c r="B177" s="7" t="s">
        <v>261</v>
      </c>
      <c r="C177" s="8">
        <v>35332.949999999997</v>
      </c>
      <c r="D177" s="8">
        <v>9833.81</v>
      </c>
      <c r="E177" s="9">
        <v>0.278318396850532</v>
      </c>
      <c r="F177" s="10" t="s">
        <v>17</v>
      </c>
      <c r="G177" s="10" t="s">
        <v>17</v>
      </c>
    </row>
    <row r="178" spans="1:7" x14ac:dyDescent="0.25">
      <c r="A178" s="6" t="s">
        <v>49</v>
      </c>
      <c r="B178" s="7" t="s">
        <v>190</v>
      </c>
      <c r="C178" s="8">
        <v>33618.79</v>
      </c>
      <c r="D178" s="8">
        <v>33618.79</v>
      </c>
      <c r="E178" s="9">
        <v>1</v>
      </c>
      <c r="F178" s="10" t="s">
        <v>17</v>
      </c>
      <c r="G178" s="10" t="s">
        <v>17</v>
      </c>
    </row>
    <row r="179" spans="1:7" x14ac:dyDescent="0.25">
      <c r="A179" s="6" t="s">
        <v>50</v>
      </c>
      <c r="B179" s="7" t="s">
        <v>220</v>
      </c>
      <c r="C179" s="8">
        <v>20872.25</v>
      </c>
      <c r="D179" s="8">
        <v>20872.25</v>
      </c>
      <c r="E179" s="9">
        <v>1</v>
      </c>
      <c r="F179" s="10" t="s">
        <v>17</v>
      </c>
      <c r="G179" s="10" t="s">
        <v>17</v>
      </c>
    </row>
    <row r="180" spans="1:7" x14ac:dyDescent="0.25">
      <c r="A180" s="6" t="s">
        <v>51</v>
      </c>
      <c r="B180" s="7" t="s">
        <v>285</v>
      </c>
      <c r="C180" s="8">
        <v>20002.439999999999</v>
      </c>
      <c r="D180" s="8">
        <v>20002.439999999999</v>
      </c>
      <c r="E180" s="9">
        <v>1</v>
      </c>
      <c r="F180" s="10" t="s">
        <v>17</v>
      </c>
      <c r="G180" s="10" t="s">
        <v>17</v>
      </c>
    </row>
    <row r="181" spans="1:7" x14ac:dyDescent="0.25">
      <c r="A181" s="6" t="s">
        <v>52</v>
      </c>
      <c r="B181" s="7" t="s">
        <v>287</v>
      </c>
      <c r="C181" s="8">
        <v>11670.65</v>
      </c>
      <c r="D181" s="8">
        <v>285.43</v>
      </c>
      <c r="E181" s="9">
        <v>2.4457078226148499E-2</v>
      </c>
      <c r="F181" s="10" t="s">
        <v>17</v>
      </c>
      <c r="G181" s="10" t="s">
        <v>17</v>
      </c>
    </row>
    <row r="182" spans="1:7" x14ac:dyDescent="0.25">
      <c r="A182" s="6" t="s">
        <v>53</v>
      </c>
      <c r="B182" s="7" t="s">
        <v>238</v>
      </c>
      <c r="C182" s="8">
        <v>6153.08</v>
      </c>
      <c r="D182" s="8">
        <v>66.16</v>
      </c>
      <c r="E182" s="9">
        <v>1.07523386661639E-2</v>
      </c>
      <c r="F182" s="10" t="s">
        <v>17</v>
      </c>
      <c r="G182" s="10" t="s">
        <v>17</v>
      </c>
    </row>
    <row r="183" spans="1:7" x14ac:dyDescent="0.25">
      <c r="A183" s="6" t="s">
        <v>54</v>
      </c>
      <c r="B183" s="7" t="s">
        <v>261</v>
      </c>
      <c r="C183" s="8">
        <v>5505.76</v>
      </c>
      <c r="D183" s="8">
        <v>5505.76</v>
      </c>
      <c r="E183" s="9">
        <v>1</v>
      </c>
      <c r="F183" s="10" t="s">
        <v>17</v>
      </c>
      <c r="G183" s="10" t="s">
        <v>17</v>
      </c>
    </row>
    <row r="184" spans="1:7" x14ac:dyDescent="0.25">
      <c r="A184" s="6" t="s">
        <v>55</v>
      </c>
      <c r="B184" s="7" t="s">
        <v>288</v>
      </c>
      <c r="C184" s="8">
        <v>4920.42</v>
      </c>
      <c r="D184" s="8">
        <v>948.17</v>
      </c>
      <c r="E184" s="9">
        <v>0.19270102958690499</v>
      </c>
      <c r="F184" s="10" t="s">
        <v>17</v>
      </c>
      <c r="G184" s="10" t="s">
        <v>17</v>
      </c>
    </row>
    <row r="185" spans="1:7" x14ac:dyDescent="0.25">
      <c r="A185" s="6" t="s">
        <v>56</v>
      </c>
      <c r="B185" s="7" t="s">
        <v>326</v>
      </c>
      <c r="C185" s="8">
        <v>2674.03</v>
      </c>
      <c r="D185" s="8">
        <v>2674.03</v>
      </c>
      <c r="E185" s="9">
        <v>1</v>
      </c>
      <c r="F185" s="10" t="s">
        <v>17</v>
      </c>
      <c r="G185" s="10" t="s">
        <v>17</v>
      </c>
    </row>
    <row r="186" spans="1:7" x14ac:dyDescent="0.25">
      <c r="A186" s="6" t="s">
        <v>57</v>
      </c>
      <c r="B186" s="7" t="s">
        <v>305</v>
      </c>
      <c r="C186" s="8">
        <v>2000</v>
      </c>
      <c r="D186" s="8">
        <v>2000</v>
      </c>
      <c r="E186" s="9">
        <v>1</v>
      </c>
      <c r="F186" s="10" t="s">
        <v>17</v>
      </c>
      <c r="G186" s="10" t="s">
        <v>17</v>
      </c>
    </row>
    <row r="187" spans="1:7" x14ac:dyDescent="0.25">
      <c r="A187" s="6" t="s">
        <v>58</v>
      </c>
      <c r="B187" s="7" t="s">
        <v>202</v>
      </c>
      <c r="C187" s="8">
        <v>1552.76</v>
      </c>
      <c r="D187" s="8">
        <v>19.43</v>
      </c>
      <c r="E187" s="9">
        <v>1.2513202297843799E-2</v>
      </c>
      <c r="F187" s="10" t="s">
        <v>17</v>
      </c>
      <c r="G187" s="10" t="s">
        <v>17</v>
      </c>
    </row>
    <row r="188" spans="1:7" x14ac:dyDescent="0.25">
      <c r="A188" s="6" t="s">
        <v>59</v>
      </c>
      <c r="B188" s="7" t="s">
        <v>289</v>
      </c>
      <c r="C188" s="8">
        <v>1242.3699999999999</v>
      </c>
      <c r="D188" s="8">
        <v>54.98</v>
      </c>
      <c r="E188" s="9">
        <v>4.4254127192382302E-2</v>
      </c>
      <c r="F188" s="10" t="s">
        <v>17</v>
      </c>
      <c r="G188" s="10" t="s">
        <v>17</v>
      </c>
    </row>
    <row r="189" spans="1:7" x14ac:dyDescent="0.25">
      <c r="A189" s="6" t="s">
        <v>60</v>
      </c>
      <c r="B189" s="7" t="s">
        <v>295</v>
      </c>
      <c r="C189" s="8">
        <v>1200.01</v>
      </c>
      <c r="D189" s="8">
        <v>1200.01</v>
      </c>
      <c r="E189" s="9">
        <v>1</v>
      </c>
      <c r="F189" s="10" t="s">
        <v>17</v>
      </c>
      <c r="G189" s="10" t="s">
        <v>17</v>
      </c>
    </row>
    <row r="190" spans="1:7" x14ac:dyDescent="0.25">
      <c r="A190" s="6" t="s">
        <v>61</v>
      </c>
      <c r="B190" s="7" t="s">
        <v>327</v>
      </c>
      <c r="C190" s="8">
        <v>1150.42</v>
      </c>
      <c r="D190" s="8">
        <v>1150.42</v>
      </c>
      <c r="E190" s="9">
        <v>1</v>
      </c>
      <c r="F190" s="10" t="s">
        <v>17</v>
      </c>
      <c r="G190" s="10" t="s">
        <v>17</v>
      </c>
    </row>
    <row r="191" spans="1:7" x14ac:dyDescent="0.25">
      <c r="A191" s="6" t="s">
        <v>62</v>
      </c>
      <c r="B191" s="7" t="s">
        <v>314</v>
      </c>
      <c r="C191" s="8">
        <v>1000.42</v>
      </c>
      <c r="D191" s="8">
        <v>1000.42</v>
      </c>
      <c r="E191" s="9">
        <v>1</v>
      </c>
      <c r="F191" s="10" t="s">
        <v>17</v>
      </c>
      <c r="G191" s="10" t="s">
        <v>17</v>
      </c>
    </row>
    <row r="192" spans="1:7" x14ac:dyDescent="0.25">
      <c r="A192" s="6" t="s">
        <v>63</v>
      </c>
      <c r="B192" s="7" t="s">
        <v>290</v>
      </c>
      <c r="C192" s="8">
        <v>623.85</v>
      </c>
      <c r="D192" s="8">
        <v>89.51</v>
      </c>
      <c r="E192" s="9">
        <v>0.14348000320589899</v>
      </c>
      <c r="F192" s="10" t="s">
        <v>17</v>
      </c>
      <c r="G192" s="10" t="s">
        <v>17</v>
      </c>
    </row>
    <row r="193" spans="1:7" x14ac:dyDescent="0.25">
      <c r="A193" s="6" t="s">
        <v>64</v>
      </c>
      <c r="B193" s="7" t="s">
        <v>204</v>
      </c>
      <c r="C193" s="8">
        <v>21.6</v>
      </c>
      <c r="D193" s="8">
        <v>21.6</v>
      </c>
      <c r="E193" s="9">
        <v>1</v>
      </c>
      <c r="F193" s="10" t="s">
        <v>17</v>
      </c>
      <c r="G193" s="10" t="s">
        <v>17</v>
      </c>
    </row>
    <row r="194" spans="1:7" x14ac:dyDescent="0.25">
      <c r="A194" s="6" t="s">
        <v>65</v>
      </c>
      <c r="B194" s="7" t="s">
        <v>271</v>
      </c>
      <c r="C194" s="8">
        <v>20.07</v>
      </c>
      <c r="D194" s="8">
        <v>20.07</v>
      </c>
      <c r="E194" s="9">
        <v>1</v>
      </c>
      <c r="F194" s="10" t="s">
        <v>17</v>
      </c>
      <c r="G194" s="10" t="s">
        <v>17</v>
      </c>
    </row>
    <row r="195" spans="1:7" x14ac:dyDescent="0.25">
      <c r="A195" s="6" t="s">
        <v>66</v>
      </c>
      <c r="B195" s="7" t="s">
        <v>297</v>
      </c>
      <c r="C195" s="8">
        <v>6.87</v>
      </c>
      <c r="D195" s="8">
        <v>6.87</v>
      </c>
      <c r="E195" s="9">
        <v>1</v>
      </c>
      <c r="F195" s="10" t="s">
        <v>17</v>
      </c>
      <c r="G195" s="10" t="s">
        <v>17</v>
      </c>
    </row>
    <row r="196" spans="1:7" x14ac:dyDescent="0.25">
      <c r="A196" s="6" t="s">
        <v>67</v>
      </c>
      <c r="B196" s="7" t="s">
        <v>296</v>
      </c>
      <c r="C196" s="8">
        <v>3.17</v>
      </c>
      <c r="D196" s="8">
        <v>3.17</v>
      </c>
      <c r="E196" s="9">
        <v>1</v>
      </c>
      <c r="F196" s="10" t="s">
        <v>17</v>
      </c>
      <c r="G196" s="10" t="s">
        <v>17</v>
      </c>
    </row>
    <row r="197" spans="1:7" x14ac:dyDescent="0.25">
      <c r="A197" s="6" t="s">
        <v>68</v>
      </c>
      <c r="B197" s="7" t="s">
        <v>281</v>
      </c>
      <c r="C197" s="8">
        <v>0.33</v>
      </c>
      <c r="D197" s="8">
        <v>0.33</v>
      </c>
      <c r="E197" s="9">
        <v>1</v>
      </c>
      <c r="F197" s="10" t="s">
        <v>17</v>
      </c>
      <c r="G197" s="10" t="s">
        <v>17</v>
      </c>
    </row>
    <row r="198" spans="1:7" x14ac:dyDescent="0.25">
      <c r="A198" s="6" t="s">
        <v>69</v>
      </c>
      <c r="B198" s="7" t="s">
        <v>164</v>
      </c>
      <c r="C198" s="8">
        <v>0.03</v>
      </c>
      <c r="D198" s="8">
        <v>0.03</v>
      </c>
      <c r="E198" s="9">
        <v>1</v>
      </c>
      <c r="F198" s="10" t="s">
        <v>17</v>
      </c>
      <c r="G198" s="10" t="s">
        <v>17</v>
      </c>
    </row>
    <row r="199" spans="1:7" x14ac:dyDescent="0.25">
      <c r="A199" s="6" t="s">
        <v>70</v>
      </c>
      <c r="B199" s="7" t="s">
        <v>230</v>
      </c>
      <c r="C199" s="8">
        <v>0.01</v>
      </c>
      <c r="D199" s="8">
        <v>0.01</v>
      </c>
      <c r="E199" s="9">
        <v>1</v>
      </c>
      <c r="F199" s="10" t="s">
        <v>17</v>
      </c>
      <c r="G199" s="10" t="s">
        <v>17</v>
      </c>
    </row>
    <row r="200" spans="1:7" x14ac:dyDescent="0.25">
      <c r="A200" s="6" t="s">
        <v>71</v>
      </c>
      <c r="B200" s="7" t="s">
        <v>208</v>
      </c>
      <c r="C200" s="8">
        <v>0.01</v>
      </c>
      <c r="D200" s="8">
        <v>0.01</v>
      </c>
      <c r="E200" s="9">
        <v>1</v>
      </c>
      <c r="F200" s="10" t="s">
        <v>17</v>
      </c>
      <c r="G200" s="10" t="s">
        <v>17</v>
      </c>
    </row>
    <row r="201" spans="1:7" x14ac:dyDescent="0.25">
      <c r="A201" s="6" t="s">
        <v>72</v>
      </c>
      <c r="B201" s="7" t="s">
        <v>286</v>
      </c>
      <c r="C201" s="8">
        <v>0</v>
      </c>
      <c r="D201" s="8">
        <v>0</v>
      </c>
      <c r="E201" s="9">
        <v>0</v>
      </c>
      <c r="F201" s="10" t="s">
        <v>17</v>
      </c>
      <c r="G201" s="10" t="s">
        <v>17</v>
      </c>
    </row>
    <row r="202" spans="1:7" x14ac:dyDescent="0.25">
      <c r="A202" s="6" t="s">
        <v>73</v>
      </c>
      <c r="B202" s="7" t="s">
        <v>210</v>
      </c>
      <c r="C202" s="8">
        <v>0</v>
      </c>
      <c r="D202" s="8">
        <v>0</v>
      </c>
      <c r="E202" s="9">
        <v>0</v>
      </c>
      <c r="F202" s="10" t="s">
        <v>17</v>
      </c>
      <c r="G202" s="10" t="s">
        <v>17</v>
      </c>
    </row>
    <row r="203" spans="1:7" x14ac:dyDescent="0.25">
      <c r="A203" s="6" t="s">
        <v>74</v>
      </c>
      <c r="B203" s="7" t="s">
        <v>219</v>
      </c>
      <c r="C203" s="8">
        <v>0</v>
      </c>
      <c r="D203" s="8">
        <v>0</v>
      </c>
      <c r="E203" s="9">
        <v>0</v>
      </c>
      <c r="F203" s="10" t="s">
        <v>17</v>
      </c>
      <c r="G203" s="10" t="s">
        <v>17</v>
      </c>
    </row>
    <row r="204" spans="1:7" x14ac:dyDescent="0.25">
      <c r="A204" s="6" t="s">
        <v>75</v>
      </c>
      <c r="B204" s="7" t="s">
        <v>262</v>
      </c>
      <c r="C204" s="8">
        <v>0</v>
      </c>
      <c r="D204" s="8">
        <v>0</v>
      </c>
      <c r="E204" s="9">
        <v>0</v>
      </c>
      <c r="F204" s="10" t="s">
        <v>17</v>
      </c>
      <c r="G204" s="10" t="s">
        <v>17</v>
      </c>
    </row>
    <row r="205" spans="1:7" x14ac:dyDescent="0.25">
      <c r="A205" s="6" t="s">
        <v>76</v>
      </c>
      <c r="B205" s="7" t="s">
        <v>282</v>
      </c>
      <c r="C205" s="8">
        <v>0</v>
      </c>
      <c r="D205" s="8">
        <v>0</v>
      </c>
      <c r="E205" s="9">
        <v>0</v>
      </c>
      <c r="F205" s="10" t="s">
        <v>17</v>
      </c>
      <c r="G205" s="10" t="s">
        <v>17</v>
      </c>
    </row>
    <row r="206" spans="1:7" x14ac:dyDescent="0.25">
      <c r="A206" s="6" t="s">
        <v>77</v>
      </c>
      <c r="B206" s="7" t="s">
        <v>229</v>
      </c>
      <c r="C206" s="8">
        <v>0</v>
      </c>
      <c r="D206" s="8">
        <v>0</v>
      </c>
      <c r="E206" s="9">
        <v>0</v>
      </c>
      <c r="F206" s="10" t="s">
        <v>17</v>
      </c>
      <c r="G206" s="10" t="s">
        <v>17</v>
      </c>
    </row>
    <row r="207" spans="1:7" x14ac:dyDescent="0.25">
      <c r="A207" s="6" t="s">
        <v>78</v>
      </c>
      <c r="B207" s="7" t="s">
        <v>221</v>
      </c>
      <c r="C207" s="8">
        <v>0</v>
      </c>
      <c r="D207" s="8">
        <v>0</v>
      </c>
      <c r="E207" s="9">
        <v>0</v>
      </c>
      <c r="F207" s="10" t="s">
        <v>17</v>
      </c>
      <c r="G207" s="10" t="s">
        <v>17</v>
      </c>
    </row>
    <row r="208" spans="1:7" x14ac:dyDescent="0.25">
      <c r="C208" s="8"/>
      <c r="D208" s="8"/>
      <c r="E208" s="9"/>
    </row>
    <row r="213" spans="2:5" x14ac:dyDescent="0.25">
      <c r="B213" s="20" t="s">
        <v>273</v>
      </c>
      <c r="C213" s="21">
        <f>SUM(C2:C145)</f>
        <v>90677038.441499949</v>
      </c>
      <c r="D213" s="21">
        <f>SUM(D2:D145)</f>
        <v>25470396.219999976</v>
      </c>
      <c r="E213" s="22">
        <f>(D213 / C213)</f>
        <v>0.28089135527327719</v>
      </c>
    </row>
    <row r="217" spans="2:5" x14ac:dyDescent="0.25">
      <c r="B217" s="20" t="s">
        <v>272</v>
      </c>
      <c r="C217" s="21">
        <f>SUM(C146:C211)</f>
        <v>11494099.549299996</v>
      </c>
      <c r="D217" s="21">
        <f>SUM(D146:D211)</f>
        <v>7347853.9300000006</v>
      </c>
      <c r="E217" s="22">
        <f>(D217 / C217)</f>
        <v>0.63927181929162025</v>
      </c>
    </row>
    <row r="221" spans="2:5" x14ac:dyDescent="0.25">
      <c r="B221" s="20" t="s">
        <v>274</v>
      </c>
      <c r="C221" s="21">
        <f>SUM(C2:C217) / 2</f>
        <v>102171137.99079995</v>
      </c>
      <c r="D221" s="21">
        <f>SUM(D2:D217) / 2</f>
        <v>32818250.149999987</v>
      </c>
      <c r="E221" s="22">
        <f>(D221 / C221)</f>
        <v>0.32120861914012472</v>
      </c>
    </row>
  </sheetData>
  <pageMargins left="0.7" right="0.7" top="0.75" bottom="0.75" header="0.3" footer="0.3"/>
  <pageSetup orientation="landscape" r:id="rId1"/>
  <headerFooter>
    <oddHeader>&amp;R&amp;B&amp;12As of &amp;D&amp;C&amp;B&amp;12Sunset West Daily Cash Percentage Report</oddHeader>
    <oddFooter>&amp;C&amp;B&amp;12&amp;P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F45D-FC70-4FF4-88EF-5A66FF3F3437}">
  <dimension ref="A1:G222"/>
  <sheetViews>
    <sheetView topLeftCell="A191" workbookViewId="0">
      <selection sqref="A1:XFD1048576"/>
    </sheetView>
  </sheetViews>
  <sheetFormatPr defaultRowHeight="15.75" x14ac:dyDescent="0.25"/>
  <cols>
    <col min="1" max="1" width="5" style="10" bestFit="1" customWidth="1"/>
    <col min="2" max="2" width="26.28515625" style="7" customWidth="1"/>
    <col min="3" max="3" width="15.140625" style="10" customWidth="1"/>
    <col min="4" max="4" width="14" style="10" customWidth="1"/>
    <col min="5" max="5" width="9.140625" style="10"/>
    <col min="6" max="6" width="9.7109375" style="10" customWidth="1"/>
    <col min="7" max="7" width="10.42578125" style="10" customWidth="1"/>
    <col min="8" max="16384" width="9.140625" style="1"/>
  </cols>
  <sheetData>
    <row r="1" spans="1:7" ht="31.5" x14ac:dyDescent="0.25">
      <c r="A1" s="18"/>
      <c r="B1" s="2" t="s">
        <v>157</v>
      </c>
      <c r="C1" s="3" t="s">
        <v>158</v>
      </c>
      <c r="D1" s="3" t="s">
        <v>159</v>
      </c>
      <c r="E1" s="4" t="s">
        <v>160</v>
      </c>
      <c r="F1" s="5" t="s">
        <v>161</v>
      </c>
      <c r="G1" s="5" t="s">
        <v>162</v>
      </c>
    </row>
    <row r="2" spans="1:7" x14ac:dyDescent="0.25">
      <c r="A2" s="6" t="s">
        <v>18</v>
      </c>
      <c r="B2" s="7" t="s">
        <v>163</v>
      </c>
      <c r="C2" s="8">
        <v>5003437.79</v>
      </c>
      <c r="D2" s="8">
        <v>1020176.98</v>
      </c>
      <c r="E2" s="9">
        <v>0.20389520621980201</v>
      </c>
      <c r="F2" s="10" t="s">
        <v>0</v>
      </c>
      <c r="G2" s="11">
        <f>(D2 / F2)</f>
        <v>75.568665185185182</v>
      </c>
    </row>
    <row r="3" spans="1:7" x14ac:dyDescent="0.25">
      <c r="A3" s="6" t="s">
        <v>19</v>
      </c>
      <c r="B3" s="7" t="s">
        <v>297</v>
      </c>
      <c r="C3" s="8">
        <v>4950068.3899999997</v>
      </c>
      <c r="D3" s="8">
        <v>4950068.3899999997</v>
      </c>
      <c r="E3" s="9">
        <v>1</v>
      </c>
      <c r="F3" s="10" t="s">
        <v>17</v>
      </c>
      <c r="G3" s="10" t="s">
        <v>17</v>
      </c>
    </row>
    <row r="4" spans="1:7" x14ac:dyDescent="0.25">
      <c r="A4" s="6" t="s">
        <v>20</v>
      </c>
      <c r="B4" s="7" t="s">
        <v>168</v>
      </c>
      <c r="C4" s="8">
        <v>4327639.6900000004</v>
      </c>
      <c r="D4" s="8">
        <v>1383849.46</v>
      </c>
      <c r="E4" s="9">
        <v>0.31977002688040301</v>
      </c>
      <c r="F4" s="10" t="s">
        <v>17</v>
      </c>
      <c r="G4" s="10" t="s">
        <v>17</v>
      </c>
    </row>
    <row r="5" spans="1:7" x14ac:dyDescent="0.25">
      <c r="A5" s="6" t="s">
        <v>21</v>
      </c>
      <c r="B5" s="7" t="s">
        <v>165</v>
      </c>
      <c r="C5" s="8">
        <v>3344580.8130999999</v>
      </c>
      <c r="D5" s="8">
        <v>696790.43</v>
      </c>
      <c r="E5" s="9">
        <v>0.20833415872949501</v>
      </c>
      <c r="F5" s="10" t="s">
        <v>17</v>
      </c>
      <c r="G5" s="10" t="s">
        <v>17</v>
      </c>
    </row>
    <row r="6" spans="1:7" x14ac:dyDescent="0.25">
      <c r="A6" s="6" t="s">
        <v>22</v>
      </c>
      <c r="B6" s="7" t="s">
        <v>166</v>
      </c>
      <c r="C6" s="8">
        <v>2965402.2</v>
      </c>
      <c r="D6" s="8">
        <v>504270.06</v>
      </c>
      <c r="E6" s="9">
        <v>0.17005115191456999</v>
      </c>
      <c r="F6" s="10" t="s">
        <v>17</v>
      </c>
      <c r="G6" s="10" t="s">
        <v>17</v>
      </c>
    </row>
    <row r="7" spans="1:7" x14ac:dyDescent="0.25">
      <c r="A7" s="6" t="s">
        <v>23</v>
      </c>
      <c r="B7" s="7" t="s">
        <v>164</v>
      </c>
      <c r="C7" s="8">
        <v>2941319.56</v>
      </c>
      <c r="D7" s="8">
        <v>557658.21</v>
      </c>
      <c r="E7" s="9">
        <v>0.189594567548451</v>
      </c>
      <c r="F7" s="10" t="s">
        <v>1</v>
      </c>
      <c r="G7" s="11">
        <f>(D7 / F7)</f>
        <v>60.418007583965327</v>
      </c>
    </row>
    <row r="8" spans="1:7" x14ac:dyDescent="0.25">
      <c r="A8" s="6" t="s">
        <v>24</v>
      </c>
      <c r="B8" s="7" t="s">
        <v>167</v>
      </c>
      <c r="C8" s="8">
        <v>2587628.27</v>
      </c>
      <c r="D8" s="8">
        <v>1100481.08</v>
      </c>
      <c r="E8" s="9">
        <v>0.42528561492335198</v>
      </c>
      <c r="F8" s="10" t="s">
        <v>2</v>
      </c>
      <c r="G8" s="11">
        <f>(D8 / F8)</f>
        <v>428.53624610591902</v>
      </c>
    </row>
    <row r="9" spans="1:7" x14ac:dyDescent="0.25">
      <c r="A9" s="6" t="s">
        <v>25</v>
      </c>
      <c r="B9" s="7" t="s">
        <v>169</v>
      </c>
      <c r="C9" s="8">
        <v>2298203.6800000002</v>
      </c>
      <c r="D9" s="8">
        <v>349842.6</v>
      </c>
      <c r="E9" s="9">
        <v>0.15222436681504201</v>
      </c>
      <c r="F9" s="10" t="s">
        <v>293</v>
      </c>
      <c r="G9" s="11">
        <f>(D9 / F9)</f>
        <v>36.825536842105258</v>
      </c>
    </row>
    <row r="10" spans="1:7" x14ac:dyDescent="0.25">
      <c r="A10" s="6" t="s">
        <v>26</v>
      </c>
      <c r="B10" s="7" t="s">
        <v>170</v>
      </c>
      <c r="C10" s="8">
        <v>2122752.9</v>
      </c>
      <c r="D10" s="8">
        <v>298828.01</v>
      </c>
      <c r="E10" s="9">
        <v>0.14077380838815501</v>
      </c>
      <c r="F10" s="10" t="s">
        <v>3</v>
      </c>
      <c r="G10" s="11">
        <f>(D10 / F10)</f>
        <v>37.353501250000001</v>
      </c>
    </row>
    <row r="11" spans="1:7" x14ac:dyDescent="0.25">
      <c r="A11" s="6" t="s">
        <v>27</v>
      </c>
      <c r="B11" s="7" t="s">
        <v>171</v>
      </c>
      <c r="C11" s="8">
        <v>2027284.62</v>
      </c>
      <c r="D11" s="8">
        <v>311666.53000000003</v>
      </c>
      <c r="E11" s="9">
        <v>0.15373595149160699</v>
      </c>
      <c r="F11" s="10" t="s">
        <v>17</v>
      </c>
      <c r="G11" s="10" t="s">
        <v>17</v>
      </c>
    </row>
    <row r="12" spans="1:7" x14ac:dyDescent="0.25">
      <c r="A12" s="6" t="s">
        <v>28</v>
      </c>
      <c r="B12" s="7" t="s">
        <v>172</v>
      </c>
      <c r="C12" s="8">
        <v>1920968.73</v>
      </c>
      <c r="D12" s="8">
        <v>386883.36</v>
      </c>
      <c r="E12" s="9">
        <v>0.20140013419166899</v>
      </c>
      <c r="F12" s="10" t="s">
        <v>17</v>
      </c>
      <c r="G12" s="10" t="s">
        <v>17</v>
      </c>
    </row>
    <row r="13" spans="1:7" x14ac:dyDescent="0.25">
      <c r="A13" s="6" t="s">
        <v>29</v>
      </c>
      <c r="B13" s="7" t="s">
        <v>316</v>
      </c>
      <c r="C13" s="8">
        <v>1893921.0071</v>
      </c>
      <c r="D13" s="8">
        <v>990960.61</v>
      </c>
      <c r="E13" s="9">
        <v>0.52323228175042702</v>
      </c>
      <c r="F13" s="10" t="s">
        <v>17</v>
      </c>
      <c r="G13" s="10" t="s">
        <v>17</v>
      </c>
    </row>
    <row r="14" spans="1:7" x14ac:dyDescent="0.25">
      <c r="A14" s="6" t="s">
        <v>30</v>
      </c>
      <c r="B14" s="7" t="s">
        <v>173</v>
      </c>
      <c r="C14" s="8">
        <v>1839033.64</v>
      </c>
      <c r="D14" s="8">
        <v>333100.45</v>
      </c>
      <c r="E14" s="9">
        <v>0.18112798088891899</v>
      </c>
      <c r="F14" s="10" t="s">
        <v>4</v>
      </c>
      <c r="G14" s="11">
        <f>(D14 / F14)</f>
        <v>55.516741666666668</v>
      </c>
    </row>
    <row r="15" spans="1:7" x14ac:dyDescent="0.25">
      <c r="A15" s="6" t="s">
        <v>31</v>
      </c>
      <c r="B15" s="7" t="s">
        <v>299</v>
      </c>
      <c r="C15" s="8">
        <v>1726315.86</v>
      </c>
      <c r="D15" s="8">
        <v>1155326.71</v>
      </c>
      <c r="E15" s="9">
        <v>0.669244103451613</v>
      </c>
      <c r="F15" s="10" t="s">
        <v>17</v>
      </c>
      <c r="G15" s="10" t="s">
        <v>17</v>
      </c>
    </row>
    <row r="16" spans="1:7" x14ac:dyDescent="0.25">
      <c r="A16" s="6" t="s">
        <v>32</v>
      </c>
      <c r="B16" s="7" t="s">
        <v>175</v>
      </c>
      <c r="C16" s="8">
        <v>1344982.15</v>
      </c>
      <c r="D16" s="8">
        <v>275292.24</v>
      </c>
      <c r="E16" s="9">
        <v>0.20468096175105399</v>
      </c>
      <c r="F16" s="10" t="s">
        <v>17</v>
      </c>
      <c r="G16" s="10" t="s">
        <v>17</v>
      </c>
    </row>
    <row r="17" spans="1:7" x14ac:dyDescent="0.25">
      <c r="A17" s="6" t="s">
        <v>33</v>
      </c>
      <c r="B17" s="7" t="s">
        <v>296</v>
      </c>
      <c r="C17" s="8">
        <v>1256704.6599999999</v>
      </c>
      <c r="D17" s="8">
        <v>127242.55</v>
      </c>
      <c r="E17" s="9">
        <v>0.10125095740474099</v>
      </c>
      <c r="F17" s="10" t="s">
        <v>17</v>
      </c>
      <c r="G17" s="10" t="s">
        <v>17</v>
      </c>
    </row>
    <row r="18" spans="1:7" x14ac:dyDescent="0.25">
      <c r="A18" s="6" t="s">
        <v>34</v>
      </c>
      <c r="B18" s="7" t="s">
        <v>177</v>
      </c>
      <c r="C18" s="8">
        <v>1243373.79</v>
      </c>
      <c r="D18" s="8">
        <v>266761.74</v>
      </c>
      <c r="E18" s="9">
        <v>0.21454669717623701</v>
      </c>
      <c r="F18" s="10" t="s">
        <v>5</v>
      </c>
      <c r="G18" s="11">
        <f>(D18 / F18)</f>
        <v>118.56077333333333</v>
      </c>
    </row>
    <row r="19" spans="1:7" x14ac:dyDescent="0.25">
      <c r="A19" s="6" t="s">
        <v>35</v>
      </c>
      <c r="B19" s="7" t="s">
        <v>178</v>
      </c>
      <c r="C19" s="8">
        <v>1237504.97</v>
      </c>
      <c r="D19" s="8">
        <v>265399.96999999997</v>
      </c>
      <c r="E19" s="9">
        <v>0.21446376090109801</v>
      </c>
      <c r="F19" s="10" t="s">
        <v>17</v>
      </c>
      <c r="G19" s="10" t="s">
        <v>17</v>
      </c>
    </row>
    <row r="20" spans="1:7" x14ac:dyDescent="0.25">
      <c r="A20" s="6" t="s">
        <v>36</v>
      </c>
      <c r="B20" s="7" t="s">
        <v>176</v>
      </c>
      <c r="C20" s="8">
        <v>1236346.3700000001</v>
      </c>
      <c r="D20" s="8">
        <v>303902.09999999998</v>
      </c>
      <c r="E20" s="9">
        <v>0.245806601915287</v>
      </c>
      <c r="F20" s="10" t="s">
        <v>17</v>
      </c>
      <c r="G20" s="10" t="s">
        <v>17</v>
      </c>
    </row>
    <row r="21" spans="1:7" x14ac:dyDescent="0.25">
      <c r="A21" s="6" t="s">
        <v>37</v>
      </c>
      <c r="B21" s="7" t="s">
        <v>182</v>
      </c>
      <c r="C21" s="8">
        <v>1223726.1399999999</v>
      </c>
      <c r="D21" s="8">
        <v>38323.300000000003</v>
      </c>
      <c r="E21" s="9">
        <v>3.1316892519759401E-2</v>
      </c>
      <c r="F21" s="10" t="s">
        <v>17</v>
      </c>
      <c r="G21" s="10" t="s">
        <v>17</v>
      </c>
    </row>
    <row r="22" spans="1:7" x14ac:dyDescent="0.25">
      <c r="A22" s="6" t="s">
        <v>38</v>
      </c>
      <c r="B22" s="7" t="s">
        <v>184</v>
      </c>
      <c r="C22" s="8">
        <v>1141681.31</v>
      </c>
      <c r="D22" s="8">
        <v>116128.63</v>
      </c>
      <c r="E22" s="9">
        <v>0.10171720337613301</v>
      </c>
      <c r="F22" s="10" t="s">
        <v>17</v>
      </c>
      <c r="G22" s="10" t="s">
        <v>17</v>
      </c>
    </row>
    <row r="23" spans="1:7" x14ac:dyDescent="0.25">
      <c r="A23" s="6" t="s">
        <v>39</v>
      </c>
      <c r="B23" s="7" t="s">
        <v>180</v>
      </c>
      <c r="C23" s="8">
        <v>1138437.96</v>
      </c>
      <c r="D23" s="8">
        <v>297539.57</v>
      </c>
      <c r="E23" s="9">
        <v>0.26135773793066402</v>
      </c>
      <c r="F23" s="10" t="s">
        <v>17</v>
      </c>
      <c r="G23" s="10" t="s">
        <v>17</v>
      </c>
    </row>
    <row r="24" spans="1:7" x14ac:dyDescent="0.25">
      <c r="A24" s="6" t="s">
        <v>40</v>
      </c>
      <c r="B24" s="7" t="s">
        <v>189</v>
      </c>
      <c r="C24" s="8">
        <v>1137612.74</v>
      </c>
      <c r="D24" s="8">
        <v>296634.84999999998</v>
      </c>
      <c r="E24" s="9">
        <v>0.26075204643014099</v>
      </c>
      <c r="F24" s="10" t="s">
        <v>17</v>
      </c>
      <c r="G24" s="10" t="s">
        <v>17</v>
      </c>
    </row>
    <row r="25" spans="1:7" x14ac:dyDescent="0.25">
      <c r="A25" s="6" t="s">
        <v>41</v>
      </c>
      <c r="B25" s="7" t="s">
        <v>186</v>
      </c>
      <c r="C25" s="8">
        <v>1134797.68</v>
      </c>
      <c r="D25" s="8">
        <v>22395.3</v>
      </c>
      <c r="E25" s="9">
        <v>1.9735059733291E-2</v>
      </c>
      <c r="F25" s="10" t="s">
        <v>17</v>
      </c>
      <c r="G25" s="10" t="s">
        <v>17</v>
      </c>
    </row>
    <row r="26" spans="1:7" x14ac:dyDescent="0.25">
      <c r="A26" s="6" t="s">
        <v>42</v>
      </c>
      <c r="B26" s="7" t="s">
        <v>179</v>
      </c>
      <c r="C26" s="8">
        <v>1121295.3600000001</v>
      </c>
      <c r="D26" s="8">
        <v>247220.14</v>
      </c>
      <c r="E26" s="9">
        <v>0.22047727014584301</v>
      </c>
      <c r="F26" s="10" t="s">
        <v>4</v>
      </c>
      <c r="G26" s="11">
        <f>(D26 / F26)</f>
        <v>41.203356666666672</v>
      </c>
    </row>
    <row r="27" spans="1:7" x14ac:dyDescent="0.25">
      <c r="A27" s="12" t="s">
        <v>43</v>
      </c>
      <c r="B27" s="13" t="s">
        <v>181</v>
      </c>
      <c r="C27" s="14">
        <v>1039932.1633</v>
      </c>
      <c r="D27" s="14">
        <v>237007.77</v>
      </c>
      <c r="E27" s="15">
        <v>0.227906952361111</v>
      </c>
      <c r="F27" s="16" t="s">
        <v>6</v>
      </c>
      <c r="G27" s="17">
        <f>(D27 / F27)</f>
        <v>23.700776999999999</v>
      </c>
    </row>
    <row r="28" spans="1:7" x14ac:dyDescent="0.25">
      <c r="A28" s="6" t="s">
        <v>44</v>
      </c>
      <c r="B28" s="7" t="s">
        <v>206</v>
      </c>
      <c r="C28" s="8">
        <v>1014993.71</v>
      </c>
      <c r="D28" s="8">
        <v>416469.33</v>
      </c>
      <c r="E28" s="9">
        <v>0.41031715359103099</v>
      </c>
      <c r="F28" s="10" t="s">
        <v>17</v>
      </c>
      <c r="G28" s="10" t="s">
        <v>17</v>
      </c>
    </row>
    <row r="29" spans="1:7" x14ac:dyDescent="0.25">
      <c r="A29" s="6" t="s">
        <v>45</v>
      </c>
      <c r="B29" s="7" t="s">
        <v>300</v>
      </c>
      <c r="C29" s="8">
        <v>1002173.5</v>
      </c>
      <c r="D29" s="8">
        <v>235093.93</v>
      </c>
      <c r="E29" s="9">
        <v>0.23458406154223799</v>
      </c>
      <c r="F29" s="10" t="s">
        <v>17</v>
      </c>
      <c r="G29" s="10" t="s">
        <v>17</v>
      </c>
    </row>
    <row r="30" spans="1:7" x14ac:dyDescent="0.25">
      <c r="A30" s="6" t="s">
        <v>46</v>
      </c>
      <c r="B30" s="7" t="s">
        <v>187</v>
      </c>
      <c r="C30" s="8">
        <v>966143.9</v>
      </c>
      <c r="D30" s="8">
        <v>191271.02</v>
      </c>
      <c r="E30" s="9">
        <v>0.19797363519036901</v>
      </c>
      <c r="F30" s="10" t="s">
        <v>17</v>
      </c>
      <c r="G30" s="10" t="s">
        <v>17</v>
      </c>
    </row>
    <row r="31" spans="1:7" x14ac:dyDescent="0.25">
      <c r="A31" s="6" t="s">
        <v>47</v>
      </c>
      <c r="B31" s="7" t="s">
        <v>188</v>
      </c>
      <c r="C31" s="8">
        <v>959850.52</v>
      </c>
      <c r="D31" s="8">
        <v>174220.26</v>
      </c>
      <c r="E31" s="9">
        <v>0.18150769976141701</v>
      </c>
      <c r="F31" s="10" t="s">
        <v>17</v>
      </c>
      <c r="G31" s="10" t="s">
        <v>17</v>
      </c>
    </row>
    <row r="32" spans="1:7" x14ac:dyDescent="0.25">
      <c r="A32" s="6" t="s">
        <v>48</v>
      </c>
      <c r="B32" s="7" t="s">
        <v>174</v>
      </c>
      <c r="C32" s="8">
        <v>927286.95</v>
      </c>
      <c r="D32" s="8">
        <v>796752.66</v>
      </c>
      <c r="E32" s="9">
        <v>0.859229885635725</v>
      </c>
      <c r="F32" s="10" t="s">
        <v>17</v>
      </c>
      <c r="G32" s="10" t="s">
        <v>17</v>
      </c>
    </row>
    <row r="33" spans="1:7" x14ac:dyDescent="0.25">
      <c r="A33" s="6" t="s">
        <v>49</v>
      </c>
      <c r="B33" s="7" t="s">
        <v>199</v>
      </c>
      <c r="C33" s="8">
        <v>926712.82</v>
      </c>
      <c r="D33" s="8">
        <v>300511.78000000003</v>
      </c>
      <c r="E33" s="9">
        <v>0.32427713690202298</v>
      </c>
      <c r="F33" s="10" t="s">
        <v>12</v>
      </c>
      <c r="G33" s="11">
        <f>(D33 / F33)</f>
        <v>66.780395555555558</v>
      </c>
    </row>
    <row r="34" spans="1:7" x14ac:dyDescent="0.25">
      <c r="A34" s="6" t="s">
        <v>50</v>
      </c>
      <c r="B34" s="7" t="s">
        <v>185</v>
      </c>
      <c r="C34" s="8">
        <v>909748.87</v>
      </c>
      <c r="D34" s="8">
        <v>206035.25</v>
      </c>
      <c r="E34" s="9">
        <v>0.22647486223313501</v>
      </c>
      <c r="F34" s="10" t="s">
        <v>7</v>
      </c>
      <c r="G34" s="11">
        <f>(D34 / F34)</f>
        <v>58.867214285714283</v>
      </c>
    </row>
    <row r="35" spans="1:7" x14ac:dyDescent="0.25">
      <c r="A35" s="6" t="s">
        <v>51</v>
      </c>
      <c r="B35" s="7" t="s">
        <v>190</v>
      </c>
      <c r="C35" s="8">
        <v>890190.95</v>
      </c>
      <c r="D35" s="8">
        <v>247884.61</v>
      </c>
      <c r="E35" s="9">
        <v>0.27846228946722001</v>
      </c>
      <c r="F35" s="10" t="s">
        <v>17</v>
      </c>
      <c r="G35" s="10" t="s">
        <v>17</v>
      </c>
    </row>
    <row r="36" spans="1:7" x14ac:dyDescent="0.25">
      <c r="A36" s="6" t="s">
        <v>52</v>
      </c>
      <c r="B36" s="7" t="s">
        <v>194</v>
      </c>
      <c r="C36" s="8">
        <v>858226.29</v>
      </c>
      <c r="D36" s="8">
        <v>161862.53</v>
      </c>
      <c r="E36" s="9">
        <v>0.18860122544136901</v>
      </c>
      <c r="F36" s="10" t="s">
        <v>10</v>
      </c>
      <c r="G36" s="11">
        <f>(D36 / F36)</f>
        <v>323.72505999999998</v>
      </c>
    </row>
    <row r="37" spans="1:7" x14ac:dyDescent="0.25">
      <c r="A37" s="6" t="s">
        <v>53</v>
      </c>
      <c r="B37" s="7" t="s">
        <v>192</v>
      </c>
      <c r="C37" s="8">
        <v>850910.7</v>
      </c>
      <c r="D37" s="8">
        <v>184640.43</v>
      </c>
      <c r="E37" s="9">
        <v>0.21699154799675199</v>
      </c>
      <c r="F37" s="10" t="s">
        <v>17</v>
      </c>
      <c r="G37" s="10" t="s">
        <v>17</v>
      </c>
    </row>
    <row r="38" spans="1:7" x14ac:dyDescent="0.25">
      <c r="A38" s="6" t="s">
        <v>54</v>
      </c>
      <c r="B38" s="7" t="s">
        <v>193</v>
      </c>
      <c r="C38" s="8">
        <v>823279.14</v>
      </c>
      <c r="D38" s="8">
        <v>153354.26999999999</v>
      </c>
      <c r="E38" s="9">
        <v>0.186272507766928</v>
      </c>
      <c r="F38" s="10" t="s">
        <v>9</v>
      </c>
      <c r="G38" s="11">
        <f>(D38 / F38)</f>
        <v>60.1389294117647</v>
      </c>
    </row>
    <row r="39" spans="1:7" x14ac:dyDescent="0.25">
      <c r="A39" s="6" t="s">
        <v>55</v>
      </c>
      <c r="B39" s="7" t="s">
        <v>191</v>
      </c>
      <c r="C39" s="8">
        <v>807294.39</v>
      </c>
      <c r="D39" s="8">
        <v>171858.07</v>
      </c>
      <c r="E39" s="9">
        <v>0.21288153631291801</v>
      </c>
      <c r="F39" s="10" t="s">
        <v>8</v>
      </c>
      <c r="G39" s="11">
        <f>(D39 / F39)</f>
        <v>63.651137037037039</v>
      </c>
    </row>
    <row r="40" spans="1:7" x14ac:dyDescent="0.25">
      <c r="A40" s="6" t="s">
        <v>56</v>
      </c>
      <c r="B40" s="7" t="s">
        <v>301</v>
      </c>
      <c r="C40" s="8">
        <v>806936.33</v>
      </c>
      <c r="D40" s="8">
        <v>536682.57999999996</v>
      </c>
      <c r="E40" s="9">
        <v>0.66508664940144702</v>
      </c>
      <c r="F40" s="10" t="s">
        <v>17</v>
      </c>
      <c r="G40" s="10" t="s">
        <v>17</v>
      </c>
    </row>
    <row r="41" spans="1:7" x14ac:dyDescent="0.25">
      <c r="A41" s="6" t="s">
        <v>57</v>
      </c>
      <c r="B41" s="7" t="s">
        <v>195</v>
      </c>
      <c r="C41" s="8">
        <v>806595.99</v>
      </c>
      <c r="D41" s="8">
        <v>193511.7</v>
      </c>
      <c r="E41" s="9">
        <v>0.2399115572097</v>
      </c>
      <c r="F41" s="10" t="s">
        <v>17</v>
      </c>
      <c r="G41" s="10" t="s">
        <v>17</v>
      </c>
    </row>
    <row r="42" spans="1:7" x14ac:dyDescent="0.25">
      <c r="A42" s="6" t="s">
        <v>58</v>
      </c>
      <c r="B42" s="7" t="s">
        <v>219</v>
      </c>
      <c r="C42" s="8">
        <v>800403.06</v>
      </c>
      <c r="D42" s="8">
        <v>287960.81</v>
      </c>
      <c r="E42" s="9">
        <v>0.359769751504948</v>
      </c>
      <c r="F42" s="10" t="s">
        <v>17</v>
      </c>
      <c r="G42" s="10" t="s">
        <v>17</v>
      </c>
    </row>
    <row r="43" spans="1:7" x14ac:dyDescent="0.25">
      <c r="A43" s="6" t="s">
        <v>59</v>
      </c>
      <c r="B43" s="7" t="s">
        <v>302</v>
      </c>
      <c r="C43" s="8">
        <v>759309.8</v>
      </c>
      <c r="D43" s="8">
        <v>406531.75</v>
      </c>
      <c r="E43" s="9">
        <v>0.53539642185574299</v>
      </c>
      <c r="F43" s="10" t="s">
        <v>17</v>
      </c>
      <c r="G43" s="10" t="s">
        <v>17</v>
      </c>
    </row>
    <row r="44" spans="1:7" x14ac:dyDescent="0.25">
      <c r="A44" s="6" t="s">
        <v>60</v>
      </c>
      <c r="B44" s="7" t="s">
        <v>252</v>
      </c>
      <c r="C44" s="8">
        <v>718803.05</v>
      </c>
      <c r="D44" s="8">
        <v>133878.43</v>
      </c>
      <c r="E44" s="9">
        <v>0.18625189472971801</v>
      </c>
      <c r="F44" s="10" t="s">
        <v>17</v>
      </c>
      <c r="G44" s="10" t="s">
        <v>17</v>
      </c>
    </row>
    <row r="45" spans="1:7" x14ac:dyDescent="0.25">
      <c r="A45" s="6" t="s">
        <v>61</v>
      </c>
      <c r="B45" s="7" t="s">
        <v>196</v>
      </c>
      <c r="C45" s="8">
        <v>712668.03</v>
      </c>
      <c r="D45" s="8">
        <v>93920.16</v>
      </c>
      <c r="E45" s="9">
        <v>0.13178668895811099</v>
      </c>
      <c r="F45" s="10" t="s">
        <v>17</v>
      </c>
      <c r="G45" s="10" t="s">
        <v>17</v>
      </c>
    </row>
    <row r="46" spans="1:7" x14ac:dyDescent="0.25">
      <c r="A46" s="6" t="s">
        <v>62</v>
      </c>
      <c r="B46" s="7" t="s">
        <v>198</v>
      </c>
      <c r="C46" s="8">
        <v>698249.88</v>
      </c>
      <c r="D46" s="8">
        <v>102232.32000000001</v>
      </c>
      <c r="E46" s="9">
        <v>0.14641222709554899</v>
      </c>
      <c r="F46" s="10" t="s">
        <v>17</v>
      </c>
      <c r="G46" s="10" t="s">
        <v>17</v>
      </c>
    </row>
    <row r="47" spans="1:7" x14ac:dyDescent="0.25">
      <c r="A47" s="6" t="s">
        <v>63</v>
      </c>
      <c r="B47" s="7" t="s">
        <v>201</v>
      </c>
      <c r="C47" s="8">
        <v>638742.49</v>
      </c>
      <c r="D47" s="8">
        <v>112224.7</v>
      </c>
      <c r="E47" s="9">
        <v>0.17569631229636801</v>
      </c>
      <c r="F47" s="10" t="s">
        <v>13</v>
      </c>
      <c r="G47" s="11">
        <f>(D47 / F47)</f>
        <v>37.408233333333335</v>
      </c>
    </row>
    <row r="48" spans="1:7" x14ac:dyDescent="0.25">
      <c r="A48" s="6" t="s">
        <v>64</v>
      </c>
      <c r="B48" s="7" t="s">
        <v>213</v>
      </c>
      <c r="C48" s="8">
        <v>637338.36</v>
      </c>
      <c r="D48" s="8">
        <v>6653.02</v>
      </c>
      <c r="E48" s="9">
        <v>1.0438756581354999E-2</v>
      </c>
      <c r="F48" s="10" t="s">
        <v>17</v>
      </c>
      <c r="G48" s="10" t="s">
        <v>17</v>
      </c>
    </row>
    <row r="49" spans="1:7" x14ac:dyDescent="0.25">
      <c r="A49" s="6" t="s">
        <v>65</v>
      </c>
      <c r="B49" s="7" t="s">
        <v>197</v>
      </c>
      <c r="C49" s="8">
        <v>627312.97</v>
      </c>
      <c r="D49" s="8">
        <v>152937.54999999999</v>
      </c>
      <c r="E49" s="9">
        <v>0.24379784463885701</v>
      </c>
      <c r="F49" s="10" t="s">
        <v>11</v>
      </c>
      <c r="G49" s="11">
        <f>(D49 / F49)</f>
        <v>40.638241053943382</v>
      </c>
    </row>
    <row r="50" spans="1:7" x14ac:dyDescent="0.25">
      <c r="A50" s="6" t="s">
        <v>66</v>
      </c>
      <c r="B50" s="7" t="s">
        <v>205</v>
      </c>
      <c r="C50" s="8">
        <v>594141.75</v>
      </c>
      <c r="D50" s="8">
        <v>86234.61</v>
      </c>
      <c r="E50" s="9">
        <v>0.145141475077286</v>
      </c>
      <c r="F50" s="10" t="s">
        <v>17</v>
      </c>
      <c r="G50" s="10" t="s">
        <v>17</v>
      </c>
    </row>
    <row r="51" spans="1:7" x14ac:dyDescent="0.25">
      <c r="A51" s="6" t="s">
        <v>67</v>
      </c>
      <c r="B51" s="7" t="s">
        <v>202</v>
      </c>
      <c r="C51" s="8">
        <v>565970.65</v>
      </c>
      <c r="D51" s="8">
        <v>115101.6</v>
      </c>
      <c r="E51" s="9">
        <v>0.20337026310463299</v>
      </c>
      <c r="F51" s="10" t="s">
        <v>17</v>
      </c>
      <c r="G51" s="10" t="s">
        <v>17</v>
      </c>
    </row>
    <row r="52" spans="1:7" x14ac:dyDescent="0.25">
      <c r="A52" s="6" t="s">
        <v>68</v>
      </c>
      <c r="B52" s="7" t="s">
        <v>203</v>
      </c>
      <c r="C52" s="8">
        <v>555799.46</v>
      </c>
      <c r="D52" s="8">
        <v>61510.98</v>
      </c>
      <c r="E52" s="9">
        <v>0.110671176254831</v>
      </c>
      <c r="F52" s="10" t="s">
        <v>17</v>
      </c>
      <c r="G52" s="10" t="s">
        <v>17</v>
      </c>
    </row>
    <row r="53" spans="1:7" x14ac:dyDescent="0.25">
      <c r="A53" s="6" t="s">
        <v>69</v>
      </c>
      <c r="B53" s="7" t="s">
        <v>204</v>
      </c>
      <c r="C53" s="8">
        <v>526420.76</v>
      </c>
      <c r="D53" s="8">
        <v>103820.23</v>
      </c>
      <c r="E53" s="9">
        <v>0.197219102833255</v>
      </c>
      <c r="F53" s="10" t="s">
        <v>17</v>
      </c>
      <c r="G53" s="10" t="s">
        <v>17</v>
      </c>
    </row>
    <row r="54" spans="1:7" x14ac:dyDescent="0.25">
      <c r="A54" s="6" t="s">
        <v>70</v>
      </c>
      <c r="B54" s="7" t="s">
        <v>237</v>
      </c>
      <c r="C54" s="8">
        <v>494955.16</v>
      </c>
      <c r="D54" s="8">
        <v>210840.23</v>
      </c>
      <c r="E54" s="9">
        <v>0.42597844620914699</v>
      </c>
      <c r="F54" s="10" t="s">
        <v>17</v>
      </c>
      <c r="G54" s="10" t="s">
        <v>17</v>
      </c>
    </row>
    <row r="55" spans="1:7" x14ac:dyDescent="0.25">
      <c r="A55" s="6" t="s">
        <v>71</v>
      </c>
      <c r="B55" s="7" t="s">
        <v>200</v>
      </c>
      <c r="C55" s="8">
        <v>476267.16</v>
      </c>
      <c r="D55" s="8">
        <v>95108.71</v>
      </c>
      <c r="E55" s="9">
        <v>0.19969613273356901</v>
      </c>
      <c r="F55" s="10" t="s">
        <v>17</v>
      </c>
      <c r="G55" s="10" t="s">
        <v>17</v>
      </c>
    </row>
    <row r="56" spans="1:7" x14ac:dyDescent="0.25">
      <c r="A56" s="6" t="s">
        <v>72</v>
      </c>
      <c r="B56" s="7" t="s">
        <v>215</v>
      </c>
      <c r="C56" s="8">
        <v>467938.91</v>
      </c>
      <c r="D56" s="8">
        <v>72667.12</v>
      </c>
      <c r="E56" s="9">
        <v>0.155291894833024</v>
      </c>
      <c r="F56" s="10" t="s">
        <v>17</v>
      </c>
      <c r="G56" s="10" t="s">
        <v>17</v>
      </c>
    </row>
    <row r="57" spans="1:7" x14ac:dyDescent="0.25">
      <c r="A57" s="6" t="s">
        <v>73</v>
      </c>
      <c r="B57" s="7" t="s">
        <v>207</v>
      </c>
      <c r="C57" s="8">
        <v>462895.35</v>
      </c>
      <c r="D57" s="8">
        <v>137216.39000000001</v>
      </c>
      <c r="E57" s="9">
        <v>0.29643069432432201</v>
      </c>
      <c r="F57" s="10" t="s">
        <v>17</v>
      </c>
      <c r="G57" s="10" t="s">
        <v>17</v>
      </c>
    </row>
    <row r="58" spans="1:7" x14ac:dyDescent="0.25">
      <c r="A58" s="6" t="s">
        <v>74</v>
      </c>
      <c r="B58" s="7" t="s">
        <v>208</v>
      </c>
      <c r="C58" s="8">
        <v>462032.46169999999</v>
      </c>
      <c r="D58" s="8">
        <v>94214.97</v>
      </c>
      <c r="E58" s="9">
        <v>0.20391417878593601</v>
      </c>
      <c r="F58" s="10" t="s">
        <v>14</v>
      </c>
      <c r="G58" s="11">
        <f>(D58 / F58)</f>
        <v>37.685988000000002</v>
      </c>
    </row>
    <row r="59" spans="1:7" x14ac:dyDescent="0.25">
      <c r="A59" s="6" t="s">
        <v>75</v>
      </c>
      <c r="B59" s="7" t="s">
        <v>221</v>
      </c>
      <c r="C59" s="8">
        <v>457081.19</v>
      </c>
      <c r="D59" s="8">
        <v>154468.48000000001</v>
      </c>
      <c r="E59" s="9">
        <v>0.337945387776732</v>
      </c>
      <c r="F59" s="10" t="s">
        <v>17</v>
      </c>
      <c r="G59" s="10" t="s">
        <v>17</v>
      </c>
    </row>
    <row r="60" spans="1:7" x14ac:dyDescent="0.25">
      <c r="A60" s="6" t="s">
        <v>76</v>
      </c>
      <c r="B60" s="7" t="s">
        <v>250</v>
      </c>
      <c r="C60" s="8">
        <v>441521.31</v>
      </c>
      <c r="D60" s="8">
        <v>214529.07</v>
      </c>
      <c r="E60" s="9">
        <v>0.48588610592770698</v>
      </c>
      <c r="F60" s="10" t="s">
        <v>17</v>
      </c>
      <c r="G60" s="10" t="s">
        <v>17</v>
      </c>
    </row>
    <row r="61" spans="1:7" x14ac:dyDescent="0.25">
      <c r="A61" s="6" t="s">
        <v>77</v>
      </c>
      <c r="B61" s="7" t="s">
        <v>223</v>
      </c>
      <c r="C61" s="8">
        <v>433848.63</v>
      </c>
      <c r="D61" s="8">
        <v>56714.67</v>
      </c>
      <c r="E61" s="9">
        <v>0.13072455708803299</v>
      </c>
      <c r="F61" s="10" t="s">
        <v>17</v>
      </c>
      <c r="G61" s="10" t="s">
        <v>17</v>
      </c>
    </row>
    <row r="62" spans="1:7" x14ac:dyDescent="0.25">
      <c r="A62" s="6" t="s">
        <v>78</v>
      </c>
      <c r="B62" s="7" t="s">
        <v>214</v>
      </c>
      <c r="C62" s="8">
        <v>416746.35</v>
      </c>
      <c r="D62" s="8">
        <v>18946.169999999998</v>
      </c>
      <c r="E62" s="9">
        <v>4.5462113825352E-2</v>
      </c>
      <c r="F62" s="10" t="s">
        <v>17</v>
      </c>
      <c r="G62" s="10" t="s">
        <v>17</v>
      </c>
    </row>
    <row r="63" spans="1:7" x14ac:dyDescent="0.25">
      <c r="A63" s="6" t="s">
        <v>79</v>
      </c>
      <c r="B63" s="7" t="s">
        <v>211</v>
      </c>
      <c r="C63" s="8">
        <v>408747.63</v>
      </c>
      <c r="D63" s="8">
        <v>61714.31</v>
      </c>
      <c r="E63" s="9">
        <v>0.15098389683629501</v>
      </c>
      <c r="F63" s="10" t="s">
        <v>17</v>
      </c>
      <c r="G63" s="10" t="s">
        <v>17</v>
      </c>
    </row>
    <row r="64" spans="1:7" x14ac:dyDescent="0.25">
      <c r="A64" s="6" t="s">
        <v>80</v>
      </c>
      <c r="B64" s="7" t="s">
        <v>304</v>
      </c>
      <c r="C64" s="8">
        <v>403769.79</v>
      </c>
      <c r="D64" s="8">
        <v>75488.899999999994</v>
      </c>
      <c r="E64" s="9">
        <v>0.18696024781844101</v>
      </c>
      <c r="F64" s="10" t="s">
        <v>17</v>
      </c>
      <c r="G64" s="10" t="s">
        <v>17</v>
      </c>
    </row>
    <row r="65" spans="1:7" x14ac:dyDescent="0.25">
      <c r="A65" s="6" t="s">
        <v>81</v>
      </c>
      <c r="B65" s="7" t="s">
        <v>209</v>
      </c>
      <c r="C65" s="8">
        <v>403152.4</v>
      </c>
      <c r="D65" s="8">
        <v>67372.509999999995</v>
      </c>
      <c r="E65" s="9">
        <v>0.16711424761454999</v>
      </c>
      <c r="F65" s="10" t="s">
        <v>17</v>
      </c>
      <c r="G65" s="10" t="s">
        <v>17</v>
      </c>
    </row>
    <row r="66" spans="1:7" x14ac:dyDescent="0.25">
      <c r="A66" s="6" t="s">
        <v>82</v>
      </c>
      <c r="B66" s="7" t="s">
        <v>212</v>
      </c>
      <c r="C66" s="8">
        <v>399104.75</v>
      </c>
      <c r="D66" s="8">
        <v>74700.42</v>
      </c>
      <c r="E66" s="9">
        <v>0.18716995976620199</v>
      </c>
      <c r="F66" s="10" t="s">
        <v>17</v>
      </c>
      <c r="G66" s="10" t="s">
        <v>17</v>
      </c>
    </row>
    <row r="67" spans="1:7" x14ac:dyDescent="0.25">
      <c r="A67" s="6" t="s">
        <v>83</v>
      </c>
      <c r="B67" s="7" t="s">
        <v>210</v>
      </c>
      <c r="C67" s="8">
        <v>378377.02100000001</v>
      </c>
      <c r="D67" s="8">
        <v>71064.58</v>
      </c>
      <c r="E67" s="9">
        <v>0.18781420661377901</v>
      </c>
      <c r="F67" s="10" t="s">
        <v>17</v>
      </c>
      <c r="G67" s="10" t="s">
        <v>17</v>
      </c>
    </row>
    <row r="68" spans="1:7" x14ac:dyDescent="0.25">
      <c r="A68" s="6" t="s">
        <v>84</v>
      </c>
      <c r="B68" s="7" t="s">
        <v>218</v>
      </c>
      <c r="C68" s="8">
        <v>375408.59</v>
      </c>
      <c r="D68" s="8">
        <v>53893.41</v>
      </c>
      <c r="E68" s="9">
        <v>0.14355934156967501</v>
      </c>
      <c r="F68" s="10" t="s">
        <v>17</v>
      </c>
      <c r="G68" s="10" t="s">
        <v>17</v>
      </c>
    </row>
    <row r="69" spans="1:7" x14ac:dyDescent="0.25">
      <c r="A69" s="6" t="s">
        <v>85</v>
      </c>
      <c r="B69" s="7" t="s">
        <v>220</v>
      </c>
      <c r="C69" s="8">
        <v>360741.65</v>
      </c>
      <c r="D69" s="8">
        <v>63986.86</v>
      </c>
      <c r="E69" s="9">
        <v>0.177375858872964</v>
      </c>
      <c r="F69" s="10" t="s">
        <v>17</v>
      </c>
      <c r="G69" s="10" t="s">
        <v>17</v>
      </c>
    </row>
    <row r="70" spans="1:7" x14ac:dyDescent="0.25">
      <c r="A70" s="6" t="s">
        <v>86</v>
      </c>
      <c r="B70" s="7" t="s">
        <v>222</v>
      </c>
      <c r="C70" s="8">
        <v>358293.76000000001</v>
      </c>
      <c r="D70" s="8">
        <v>41172.269999999997</v>
      </c>
      <c r="E70" s="9">
        <v>0.114912048705509</v>
      </c>
      <c r="F70" s="10" t="s">
        <v>17</v>
      </c>
      <c r="G70" s="10" t="s">
        <v>17</v>
      </c>
    </row>
    <row r="71" spans="1:7" x14ac:dyDescent="0.25">
      <c r="A71" s="6" t="s">
        <v>87</v>
      </c>
      <c r="B71" s="7" t="s">
        <v>217</v>
      </c>
      <c r="C71" s="8">
        <v>343349.54</v>
      </c>
      <c r="D71" s="8">
        <v>50537.73</v>
      </c>
      <c r="E71" s="9">
        <v>0.14719032388976</v>
      </c>
      <c r="F71" s="10" t="s">
        <v>15</v>
      </c>
      <c r="G71" s="11">
        <f>(D71 / F71)</f>
        <v>50.537730000000003</v>
      </c>
    </row>
    <row r="72" spans="1:7" x14ac:dyDescent="0.25">
      <c r="A72" s="6" t="s">
        <v>88</v>
      </c>
      <c r="B72" s="7" t="s">
        <v>226</v>
      </c>
      <c r="C72" s="8">
        <v>322739.52</v>
      </c>
      <c r="D72" s="8">
        <v>20179.560000000001</v>
      </c>
      <c r="E72" s="9">
        <v>6.2525841272862995E-2</v>
      </c>
      <c r="F72" s="10" t="s">
        <v>17</v>
      </c>
      <c r="G72" s="10" t="s">
        <v>17</v>
      </c>
    </row>
    <row r="73" spans="1:7" x14ac:dyDescent="0.25">
      <c r="A73" s="6" t="s">
        <v>89</v>
      </c>
      <c r="B73" s="7" t="s">
        <v>216</v>
      </c>
      <c r="C73" s="8">
        <v>319542.32</v>
      </c>
      <c r="D73" s="8">
        <v>167788.54</v>
      </c>
      <c r="E73" s="9">
        <v>0.52509019775534005</v>
      </c>
      <c r="F73" s="10" t="s">
        <v>17</v>
      </c>
      <c r="G73" s="10" t="s">
        <v>17</v>
      </c>
    </row>
    <row r="74" spans="1:7" x14ac:dyDescent="0.25">
      <c r="A74" s="6" t="s">
        <v>90</v>
      </c>
      <c r="B74" s="7" t="s">
        <v>227</v>
      </c>
      <c r="C74" s="8">
        <v>316429.46999999997</v>
      </c>
      <c r="D74" s="8">
        <v>27298.98</v>
      </c>
      <c r="E74" s="9">
        <v>8.6271926568660007E-2</v>
      </c>
      <c r="F74" s="10" t="s">
        <v>17</v>
      </c>
      <c r="G74" s="10" t="s">
        <v>17</v>
      </c>
    </row>
    <row r="75" spans="1:7" x14ac:dyDescent="0.25">
      <c r="A75" s="6" t="s">
        <v>91</v>
      </c>
      <c r="B75" s="7" t="s">
        <v>303</v>
      </c>
      <c r="C75" s="8">
        <v>309545.77</v>
      </c>
      <c r="D75" s="8">
        <v>17587.990000000002</v>
      </c>
      <c r="E75" s="9">
        <v>5.6818705679615701E-2</v>
      </c>
      <c r="F75" s="10" t="s">
        <v>17</v>
      </c>
      <c r="G75" s="10" t="s">
        <v>17</v>
      </c>
    </row>
    <row r="76" spans="1:7" x14ac:dyDescent="0.25">
      <c r="A76" s="6" t="s">
        <v>92</v>
      </c>
      <c r="B76" s="7" t="s">
        <v>224</v>
      </c>
      <c r="C76" s="8">
        <v>304774.46000000002</v>
      </c>
      <c r="D76" s="8">
        <v>59259.15</v>
      </c>
      <c r="E76" s="9">
        <v>0.19443607577879099</v>
      </c>
      <c r="F76" s="10" t="s">
        <v>17</v>
      </c>
      <c r="G76" s="10" t="s">
        <v>17</v>
      </c>
    </row>
    <row r="77" spans="1:7" x14ac:dyDescent="0.25">
      <c r="A77" s="6" t="s">
        <v>93</v>
      </c>
      <c r="B77" s="7" t="s">
        <v>228</v>
      </c>
      <c r="C77" s="8">
        <v>294847.37</v>
      </c>
      <c r="D77" s="8">
        <v>14429.89</v>
      </c>
      <c r="E77" s="9">
        <v>4.8940202519018601E-2</v>
      </c>
      <c r="F77" s="10" t="s">
        <v>17</v>
      </c>
      <c r="G77" s="10" t="s">
        <v>17</v>
      </c>
    </row>
    <row r="78" spans="1:7" x14ac:dyDescent="0.25">
      <c r="A78" s="6" t="s">
        <v>94</v>
      </c>
      <c r="B78" s="7" t="s">
        <v>229</v>
      </c>
      <c r="C78" s="8">
        <v>287354.3</v>
      </c>
      <c r="D78" s="8">
        <v>28260.34</v>
      </c>
      <c r="E78" s="9">
        <v>9.8346675167206493E-2</v>
      </c>
      <c r="F78" s="10" t="s">
        <v>17</v>
      </c>
      <c r="G78" s="10" t="s">
        <v>17</v>
      </c>
    </row>
    <row r="79" spans="1:7" x14ac:dyDescent="0.25">
      <c r="A79" s="6" t="s">
        <v>95</v>
      </c>
      <c r="B79" s="7" t="s">
        <v>232</v>
      </c>
      <c r="C79" s="8">
        <v>279617.36</v>
      </c>
      <c r="D79" s="8">
        <v>12724.8</v>
      </c>
      <c r="E79" s="9">
        <v>4.5507904087214002E-2</v>
      </c>
      <c r="F79" s="10" t="s">
        <v>17</v>
      </c>
      <c r="G79" s="10" t="s">
        <v>17</v>
      </c>
    </row>
    <row r="80" spans="1:7" x14ac:dyDescent="0.25">
      <c r="A80" s="6" t="s">
        <v>96</v>
      </c>
      <c r="B80" s="7" t="s">
        <v>231</v>
      </c>
      <c r="C80" s="8">
        <v>277811.32</v>
      </c>
      <c r="D80" s="8">
        <v>22476.48</v>
      </c>
      <c r="E80" s="9">
        <v>8.0905558492000998E-2</v>
      </c>
      <c r="F80" s="10" t="s">
        <v>17</v>
      </c>
      <c r="G80" s="10" t="s">
        <v>17</v>
      </c>
    </row>
    <row r="81" spans="1:7" x14ac:dyDescent="0.25">
      <c r="A81" s="6" t="s">
        <v>97</v>
      </c>
      <c r="B81" s="7" t="s">
        <v>254</v>
      </c>
      <c r="C81" s="8">
        <v>277603.74</v>
      </c>
      <c r="D81" s="8">
        <v>42601.81</v>
      </c>
      <c r="E81" s="9">
        <v>0.15346266588483301</v>
      </c>
      <c r="F81" s="10" t="s">
        <v>17</v>
      </c>
      <c r="G81" s="10" t="s">
        <v>17</v>
      </c>
    </row>
    <row r="82" spans="1:7" x14ac:dyDescent="0.25">
      <c r="A82" s="6" t="s">
        <v>98</v>
      </c>
      <c r="B82" s="7" t="s">
        <v>234</v>
      </c>
      <c r="C82" s="8">
        <v>265138.23</v>
      </c>
      <c r="D82" s="8">
        <v>25281.06</v>
      </c>
      <c r="E82" s="9">
        <v>9.5350489440923003E-2</v>
      </c>
      <c r="F82" s="10" t="s">
        <v>17</v>
      </c>
      <c r="G82" s="10" t="s">
        <v>17</v>
      </c>
    </row>
    <row r="83" spans="1:7" x14ac:dyDescent="0.25">
      <c r="A83" s="6" t="s">
        <v>99</v>
      </c>
      <c r="B83" s="7" t="s">
        <v>233</v>
      </c>
      <c r="C83" s="8">
        <v>257050.03</v>
      </c>
      <c r="D83" s="8">
        <v>46994.65</v>
      </c>
      <c r="E83" s="9">
        <v>0.182822970298817</v>
      </c>
      <c r="F83" s="10" t="s">
        <v>17</v>
      </c>
      <c r="G83" s="10" t="s">
        <v>17</v>
      </c>
    </row>
    <row r="84" spans="1:7" x14ac:dyDescent="0.25">
      <c r="A84" s="12" t="s">
        <v>100</v>
      </c>
      <c r="B84" s="13" t="s">
        <v>225</v>
      </c>
      <c r="C84" s="14">
        <v>249932.6</v>
      </c>
      <c r="D84" s="14">
        <v>47002.79</v>
      </c>
      <c r="E84" s="15">
        <v>0.188061861477854</v>
      </c>
      <c r="F84" s="16" t="s">
        <v>12</v>
      </c>
      <c r="G84" s="17">
        <f>(D84 / F84)</f>
        <v>10.445064444444444</v>
      </c>
    </row>
    <row r="85" spans="1:7" x14ac:dyDescent="0.25">
      <c r="A85" s="6" t="s">
        <v>101</v>
      </c>
      <c r="B85" s="7" t="s">
        <v>235</v>
      </c>
      <c r="C85" s="8">
        <v>239578.5</v>
      </c>
      <c r="D85" s="8">
        <v>25226.48</v>
      </c>
      <c r="E85" s="9">
        <v>0.10529525813042501</v>
      </c>
      <c r="F85" s="10" t="s">
        <v>17</v>
      </c>
      <c r="G85" s="10" t="s">
        <v>17</v>
      </c>
    </row>
    <row r="86" spans="1:7" x14ac:dyDescent="0.25">
      <c r="A86" s="6" t="s">
        <v>102</v>
      </c>
      <c r="B86" s="7" t="s">
        <v>236</v>
      </c>
      <c r="C86" s="8">
        <v>226154.3</v>
      </c>
      <c r="D86" s="8">
        <v>73729.070000000007</v>
      </c>
      <c r="E86" s="9">
        <v>0.32601224031557202</v>
      </c>
      <c r="F86" s="10" t="s">
        <v>17</v>
      </c>
      <c r="G86" s="10" t="s">
        <v>17</v>
      </c>
    </row>
    <row r="87" spans="1:7" x14ac:dyDescent="0.25">
      <c r="A87" s="6" t="s">
        <v>103</v>
      </c>
      <c r="B87" s="7" t="s">
        <v>305</v>
      </c>
      <c r="C87" s="8">
        <v>212952.18</v>
      </c>
      <c r="D87" s="8">
        <v>158670.71</v>
      </c>
      <c r="E87" s="9">
        <v>0.74510019103819503</v>
      </c>
      <c r="F87" s="10" t="s">
        <v>17</v>
      </c>
      <c r="G87" s="10" t="s">
        <v>17</v>
      </c>
    </row>
    <row r="88" spans="1:7" x14ac:dyDescent="0.25">
      <c r="A88" s="12" t="s">
        <v>104</v>
      </c>
      <c r="B88" s="13" t="s">
        <v>230</v>
      </c>
      <c r="C88" s="14">
        <v>202835.49</v>
      </c>
      <c r="D88" s="14">
        <v>43809.54</v>
      </c>
      <c r="E88" s="15">
        <v>0.21598557530538701</v>
      </c>
      <c r="F88" s="16" t="s">
        <v>292</v>
      </c>
      <c r="G88" s="17">
        <f>(D88 / F88)</f>
        <v>11.840416216216216</v>
      </c>
    </row>
    <row r="89" spans="1:7" x14ac:dyDescent="0.25">
      <c r="A89" s="6" t="s">
        <v>105</v>
      </c>
      <c r="B89" s="7" t="s">
        <v>238</v>
      </c>
      <c r="C89" s="8">
        <v>199217.55</v>
      </c>
      <c r="D89" s="8">
        <v>12051.98</v>
      </c>
      <c r="E89" s="9">
        <v>6.04965777362486E-2</v>
      </c>
      <c r="F89" s="10" t="s">
        <v>17</v>
      </c>
      <c r="G89" s="10" t="s">
        <v>17</v>
      </c>
    </row>
    <row r="90" spans="1:7" x14ac:dyDescent="0.25">
      <c r="A90" s="6" t="s">
        <v>106</v>
      </c>
      <c r="B90" s="7" t="s">
        <v>239</v>
      </c>
      <c r="C90" s="8">
        <v>191791.89</v>
      </c>
      <c r="D90" s="8">
        <v>159387.12</v>
      </c>
      <c r="E90" s="9">
        <v>0.83104202164126995</v>
      </c>
      <c r="F90" s="10" t="s">
        <v>17</v>
      </c>
      <c r="G90" s="10" t="s">
        <v>17</v>
      </c>
    </row>
    <row r="91" spans="1:7" x14ac:dyDescent="0.25">
      <c r="A91" s="6" t="s">
        <v>107</v>
      </c>
      <c r="B91" s="7" t="s">
        <v>275</v>
      </c>
      <c r="C91" s="8">
        <v>180548.99</v>
      </c>
      <c r="D91" s="8">
        <v>20001.52</v>
      </c>
      <c r="E91" s="9">
        <v>0.11078167759343301</v>
      </c>
      <c r="F91" s="10" t="s">
        <v>17</v>
      </c>
      <c r="G91" s="10" t="s">
        <v>17</v>
      </c>
    </row>
    <row r="92" spans="1:7" x14ac:dyDescent="0.25">
      <c r="A92" s="6" t="s">
        <v>108</v>
      </c>
      <c r="B92" s="7" t="s">
        <v>240</v>
      </c>
      <c r="C92" s="8">
        <v>162131.28</v>
      </c>
      <c r="D92" s="8">
        <v>12007.99</v>
      </c>
      <c r="E92" s="9">
        <v>7.4063376296048505E-2</v>
      </c>
      <c r="F92" s="10" t="s">
        <v>17</v>
      </c>
      <c r="G92" s="10" t="s">
        <v>17</v>
      </c>
    </row>
    <row r="93" spans="1:7" x14ac:dyDescent="0.25">
      <c r="A93" s="6" t="s">
        <v>109</v>
      </c>
      <c r="B93" s="7" t="s">
        <v>276</v>
      </c>
      <c r="C93" s="8">
        <v>154459.4</v>
      </c>
      <c r="D93" s="8">
        <v>19434.939999999999</v>
      </c>
      <c r="E93" s="9">
        <v>0.125825556748246</v>
      </c>
      <c r="F93" s="10" t="s">
        <v>17</v>
      </c>
      <c r="G93" s="10" t="s">
        <v>17</v>
      </c>
    </row>
    <row r="94" spans="1:7" x14ac:dyDescent="0.25">
      <c r="A94" s="6" t="s">
        <v>110</v>
      </c>
      <c r="B94" s="7" t="s">
        <v>307</v>
      </c>
      <c r="C94" s="8">
        <v>151481.03</v>
      </c>
      <c r="D94" s="8">
        <v>89197.31</v>
      </c>
      <c r="E94" s="9">
        <v>0.58883485278651704</v>
      </c>
      <c r="F94" s="10" t="s">
        <v>17</v>
      </c>
      <c r="G94" s="10" t="s">
        <v>17</v>
      </c>
    </row>
    <row r="95" spans="1:7" x14ac:dyDescent="0.25">
      <c r="A95" s="6" t="s">
        <v>111</v>
      </c>
      <c r="B95" s="7" t="s">
        <v>243</v>
      </c>
      <c r="C95" s="8">
        <v>149473.23000000001</v>
      </c>
      <c r="D95" s="8">
        <v>10932.32</v>
      </c>
      <c r="E95" s="9">
        <v>7.3138982813176601E-2</v>
      </c>
      <c r="F95" s="10" t="s">
        <v>17</v>
      </c>
      <c r="G95" s="10" t="s">
        <v>17</v>
      </c>
    </row>
    <row r="96" spans="1:7" x14ac:dyDescent="0.25">
      <c r="A96" s="6" t="s">
        <v>112</v>
      </c>
      <c r="B96" s="7" t="s">
        <v>241</v>
      </c>
      <c r="C96" s="8">
        <v>144482.42000000001</v>
      </c>
      <c r="D96" s="8">
        <v>18468.89</v>
      </c>
      <c r="E96" s="9">
        <v>0.127827939205337</v>
      </c>
      <c r="F96" s="10" t="s">
        <v>16</v>
      </c>
      <c r="G96" s="11">
        <f>(D96 / F96)</f>
        <v>51.589078212290502</v>
      </c>
    </row>
    <row r="97" spans="1:7" x14ac:dyDescent="0.25">
      <c r="A97" s="6" t="s">
        <v>113</v>
      </c>
      <c r="B97" s="7" t="s">
        <v>244</v>
      </c>
      <c r="C97" s="8">
        <v>143081.35</v>
      </c>
      <c r="D97" s="8">
        <v>5839.68</v>
      </c>
      <c r="E97" s="9">
        <v>4.0813704930796398E-2</v>
      </c>
      <c r="F97" s="10" t="s">
        <v>17</v>
      </c>
      <c r="G97" s="10" t="s">
        <v>17</v>
      </c>
    </row>
    <row r="98" spans="1:7" x14ac:dyDescent="0.25">
      <c r="A98" s="6" t="s">
        <v>114</v>
      </c>
      <c r="B98" s="7" t="s">
        <v>320</v>
      </c>
      <c r="C98" s="8">
        <v>139018.95000000001</v>
      </c>
      <c r="D98" s="8">
        <v>139018.95000000001</v>
      </c>
      <c r="E98" s="9">
        <v>1</v>
      </c>
      <c r="F98" s="10" t="s">
        <v>17</v>
      </c>
      <c r="G98" s="10" t="s">
        <v>17</v>
      </c>
    </row>
    <row r="99" spans="1:7" x14ac:dyDescent="0.25">
      <c r="A99" s="6" t="s">
        <v>115</v>
      </c>
      <c r="B99" s="7" t="s">
        <v>246</v>
      </c>
      <c r="C99" s="8">
        <v>135241.47</v>
      </c>
      <c r="D99" s="8">
        <v>9391.35</v>
      </c>
      <c r="E99" s="9">
        <v>6.9441348130865499E-2</v>
      </c>
      <c r="F99" s="10" t="s">
        <v>17</v>
      </c>
      <c r="G99" s="10" t="s">
        <v>17</v>
      </c>
    </row>
    <row r="100" spans="1:7" x14ac:dyDescent="0.25">
      <c r="A100" s="6" t="s">
        <v>116</v>
      </c>
      <c r="B100" s="7" t="s">
        <v>242</v>
      </c>
      <c r="C100" s="8">
        <v>132627.29999999999</v>
      </c>
      <c r="D100" s="8">
        <v>48019.72</v>
      </c>
      <c r="E100" s="9">
        <v>0.36206512535503599</v>
      </c>
      <c r="F100" s="10" t="s">
        <v>17</v>
      </c>
      <c r="G100" s="10" t="s">
        <v>17</v>
      </c>
    </row>
    <row r="101" spans="1:7" x14ac:dyDescent="0.25">
      <c r="A101" s="6" t="s">
        <v>117</v>
      </c>
      <c r="B101" s="7" t="s">
        <v>245</v>
      </c>
      <c r="C101" s="8">
        <v>127662.49</v>
      </c>
      <c r="D101" s="8">
        <v>8259.66</v>
      </c>
      <c r="E101" s="9">
        <v>6.4699192378278106E-2</v>
      </c>
      <c r="F101" s="10" t="s">
        <v>17</v>
      </c>
      <c r="G101" s="10" t="s">
        <v>17</v>
      </c>
    </row>
    <row r="102" spans="1:7" x14ac:dyDescent="0.25">
      <c r="A102" s="6" t="s">
        <v>118</v>
      </c>
      <c r="B102" s="7" t="s">
        <v>247</v>
      </c>
      <c r="C102" s="8">
        <v>126473.24</v>
      </c>
      <c r="D102" s="8">
        <v>20310.62</v>
      </c>
      <c r="E102" s="9">
        <v>0.16059223279169599</v>
      </c>
      <c r="F102" s="10" t="s">
        <v>17</v>
      </c>
      <c r="G102" s="10" t="s">
        <v>17</v>
      </c>
    </row>
    <row r="103" spans="1:7" x14ac:dyDescent="0.25">
      <c r="A103" s="6" t="s">
        <v>119</v>
      </c>
      <c r="B103" s="7" t="s">
        <v>306</v>
      </c>
      <c r="C103" s="8">
        <v>125431.05</v>
      </c>
      <c r="D103" s="8">
        <v>11957.7</v>
      </c>
      <c r="E103" s="9">
        <v>9.5332854185626301E-2</v>
      </c>
      <c r="F103" s="10" t="s">
        <v>17</v>
      </c>
      <c r="G103" s="10" t="s">
        <v>17</v>
      </c>
    </row>
    <row r="104" spans="1:7" x14ac:dyDescent="0.25">
      <c r="A104" s="6" t="s">
        <v>120</v>
      </c>
      <c r="B104" s="7" t="s">
        <v>248</v>
      </c>
      <c r="C104" s="8">
        <v>112881.69</v>
      </c>
      <c r="D104" s="8">
        <v>4076.98</v>
      </c>
      <c r="E104" s="9">
        <v>3.6117283502754102E-2</v>
      </c>
      <c r="F104" s="10" t="s">
        <v>17</v>
      </c>
      <c r="G104" s="10" t="s">
        <v>17</v>
      </c>
    </row>
    <row r="105" spans="1:7" x14ac:dyDescent="0.25">
      <c r="A105" s="6" t="s">
        <v>121</v>
      </c>
      <c r="B105" s="7" t="s">
        <v>295</v>
      </c>
      <c r="C105" s="8">
        <v>110682.38</v>
      </c>
      <c r="D105" s="8">
        <v>12125.86</v>
      </c>
      <c r="E105" s="9">
        <v>0.109555468539798</v>
      </c>
      <c r="F105" s="10" t="s">
        <v>17</v>
      </c>
      <c r="G105" s="10" t="s">
        <v>17</v>
      </c>
    </row>
    <row r="106" spans="1:7" x14ac:dyDescent="0.25">
      <c r="A106" s="6" t="s">
        <v>122</v>
      </c>
      <c r="B106" s="7" t="s">
        <v>249</v>
      </c>
      <c r="C106" s="8">
        <v>101766.28</v>
      </c>
      <c r="D106" s="8">
        <v>13285.65</v>
      </c>
      <c r="E106" s="9">
        <v>0.13055061067379101</v>
      </c>
      <c r="F106" s="10" t="s">
        <v>17</v>
      </c>
      <c r="G106" s="10" t="s">
        <v>17</v>
      </c>
    </row>
    <row r="107" spans="1:7" x14ac:dyDescent="0.25">
      <c r="A107" s="6" t="s">
        <v>123</v>
      </c>
      <c r="B107" s="7" t="s">
        <v>331</v>
      </c>
      <c r="C107" s="8">
        <v>100000</v>
      </c>
      <c r="D107" s="8">
        <v>100000</v>
      </c>
      <c r="E107" s="9">
        <v>1</v>
      </c>
      <c r="F107" s="10" t="s">
        <v>17</v>
      </c>
      <c r="G107" s="10" t="s">
        <v>17</v>
      </c>
    </row>
    <row r="108" spans="1:7" x14ac:dyDescent="0.25">
      <c r="A108" s="6" t="s">
        <v>124</v>
      </c>
      <c r="B108" s="7" t="s">
        <v>309</v>
      </c>
      <c r="C108" s="8">
        <v>97094.54</v>
      </c>
      <c r="D108" s="8">
        <v>12371.05</v>
      </c>
      <c r="E108" s="9">
        <v>0.12741241680531201</v>
      </c>
      <c r="F108" s="10" t="s">
        <v>17</v>
      </c>
      <c r="G108" s="10" t="s">
        <v>17</v>
      </c>
    </row>
    <row r="109" spans="1:7" x14ac:dyDescent="0.25">
      <c r="A109" s="6" t="s">
        <v>125</v>
      </c>
      <c r="B109" s="7" t="s">
        <v>317</v>
      </c>
      <c r="C109" s="8">
        <v>89491.56</v>
      </c>
      <c r="D109" s="8">
        <v>596.53</v>
      </c>
      <c r="E109" s="9">
        <v>6.6657682579228704E-3</v>
      </c>
      <c r="F109" s="10" t="s">
        <v>17</v>
      </c>
      <c r="G109" s="10" t="s">
        <v>17</v>
      </c>
    </row>
    <row r="110" spans="1:7" x14ac:dyDescent="0.25">
      <c r="A110" s="6" t="s">
        <v>126</v>
      </c>
      <c r="B110" s="7" t="s">
        <v>253</v>
      </c>
      <c r="C110" s="8">
        <v>83002.45</v>
      </c>
      <c r="D110" s="8">
        <v>5971.26</v>
      </c>
      <c r="E110" s="9">
        <v>7.1940768013474293E-2</v>
      </c>
      <c r="F110" s="10" t="s">
        <v>17</v>
      </c>
      <c r="G110" s="10" t="s">
        <v>17</v>
      </c>
    </row>
    <row r="111" spans="1:7" x14ac:dyDescent="0.25">
      <c r="A111" s="6" t="s">
        <v>127</v>
      </c>
      <c r="B111" s="7" t="s">
        <v>230</v>
      </c>
      <c r="C111" s="8">
        <v>73293.7</v>
      </c>
      <c r="D111" s="8">
        <v>8441.44</v>
      </c>
      <c r="E111" s="9">
        <v>0.115172791113015</v>
      </c>
      <c r="F111" s="10" t="s">
        <v>17</v>
      </c>
      <c r="G111" s="10" t="s">
        <v>17</v>
      </c>
    </row>
    <row r="112" spans="1:7" x14ac:dyDescent="0.25">
      <c r="A112" s="6" t="s">
        <v>128</v>
      </c>
      <c r="B112" s="7" t="s">
        <v>256</v>
      </c>
      <c r="C112" s="8">
        <v>71810.820000000007</v>
      </c>
      <c r="D112" s="8">
        <v>4667.6499999999996</v>
      </c>
      <c r="E112" s="9">
        <v>6.4999257772018204E-2</v>
      </c>
      <c r="F112" s="10" t="s">
        <v>17</v>
      </c>
      <c r="G112" s="10" t="s">
        <v>17</v>
      </c>
    </row>
    <row r="113" spans="1:7" x14ac:dyDescent="0.25">
      <c r="A113" s="6" t="s">
        <v>129</v>
      </c>
      <c r="B113" s="7" t="s">
        <v>255</v>
      </c>
      <c r="C113" s="8">
        <v>71178.39</v>
      </c>
      <c r="D113" s="8">
        <v>464.3</v>
      </c>
      <c r="E113" s="9">
        <v>6.52304723385848E-3</v>
      </c>
      <c r="F113" s="10" t="s">
        <v>17</v>
      </c>
      <c r="G113" s="10" t="s">
        <v>17</v>
      </c>
    </row>
    <row r="114" spans="1:7" x14ac:dyDescent="0.25">
      <c r="A114" s="6" t="s">
        <v>130</v>
      </c>
      <c r="B114" s="7" t="s">
        <v>321</v>
      </c>
      <c r="C114" s="8">
        <v>70974.98</v>
      </c>
      <c r="D114" s="8">
        <v>42587.67</v>
      </c>
      <c r="E114" s="9">
        <v>0.60003778796415297</v>
      </c>
      <c r="F114" s="10" t="s">
        <v>17</v>
      </c>
      <c r="G114" s="10" t="s">
        <v>17</v>
      </c>
    </row>
    <row r="115" spans="1:7" x14ac:dyDescent="0.25">
      <c r="A115" s="6" t="s">
        <v>131</v>
      </c>
      <c r="B115" s="7" t="s">
        <v>258</v>
      </c>
      <c r="C115" s="8">
        <v>66409.89</v>
      </c>
      <c r="D115" s="8">
        <v>4255.4799999999996</v>
      </c>
      <c r="E115" s="9">
        <v>6.4079009918552796E-2</v>
      </c>
      <c r="F115" s="10" t="s">
        <v>17</v>
      </c>
      <c r="G115" s="10" t="s">
        <v>17</v>
      </c>
    </row>
    <row r="116" spans="1:7" x14ac:dyDescent="0.25">
      <c r="A116" s="6" t="s">
        <v>132</v>
      </c>
      <c r="B116" s="7" t="s">
        <v>257</v>
      </c>
      <c r="C116" s="8">
        <v>55606.33</v>
      </c>
      <c r="D116" s="8">
        <v>1553.66</v>
      </c>
      <c r="E116" s="9">
        <v>2.7940344201820198E-2</v>
      </c>
      <c r="F116" s="10" t="s">
        <v>17</v>
      </c>
      <c r="G116" s="10" t="s">
        <v>17</v>
      </c>
    </row>
    <row r="117" spans="1:7" x14ac:dyDescent="0.25">
      <c r="A117" s="6" t="s">
        <v>133</v>
      </c>
      <c r="B117" s="7" t="s">
        <v>259</v>
      </c>
      <c r="C117" s="8">
        <v>53674.400000000001</v>
      </c>
      <c r="D117" s="8">
        <v>3748.31</v>
      </c>
      <c r="E117" s="9">
        <v>6.9834222646177696E-2</v>
      </c>
      <c r="F117" s="10" t="s">
        <v>17</v>
      </c>
      <c r="G117" s="10" t="s">
        <v>17</v>
      </c>
    </row>
    <row r="118" spans="1:7" x14ac:dyDescent="0.25">
      <c r="A118" s="6" t="s">
        <v>134</v>
      </c>
      <c r="B118" s="7" t="s">
        <v>262</v>
      </c>
      <c r="C118" s="8">
        <v>50768.73</v>
      </c>
      <c r="D118" s="8">
        <v>6312.93</v>
      </c>
      <c r="E118" s="9">
        <v>0.124346817420881</v>
      </c>
      <c r="F118" s="10" t="s">
        <v>17</v>
      </c>
      <c r="G118" s="10" t="s">
        <v>17</v>
      </c>
    </row>
    <row r="119" spans="1:7" x14ac:dyDescent="0.25">
      <c r="A119" s="6" t="s">
        <v>135</v>
      </c>
      <c r="B119" s="7" t="s">
        <v>291</v>
      </c>
      <c r="C119" s="8">
        <v>49176.5</v>
      </c>
      <c r="D119" s="8">
        <v>7034.77</v>
      </c>
      <c r="E119" s="9">
        <v>0.143051457505109</v>
      </c>
      <c r="F119" s="10" t="s">
        <v>17</v>
      </c>
      <c r="G119" s="10" t="s">
        <v>17</v>
      </c>
    </row>
    <row r="120" spans="1:7" x14ac:dyDescent="0.25">
      <c r="A120" s="6" t="s">
        <v>136</v>
      </c>
      <c r="B120" s="7" t="s">
        <v>329</v>
      </c>
      <c r="C120" s="8">
        <v>42569.09</v>
      </c>
      <c r="D120" s="8">
        <v>3967.33</v>
      </c>
      <c r="E120" s="9">
        <v>9.3197435040307405E-2</v>
      </c>
      <c r="F120" s="10" t="s">
        <v>17</v>
      </c>
      <c r="G120" s="10" t="s">
        <v>17</v>
      </c>
    </row>
    <row r="121" spans="1:7" x14ac:dyDescent="0.25">
      <c r="A121" s="6" t="s">
        <v>137</v>
      </c>
      <c r="B121" s="7" t="s">
        <v>260</v>
      </c>
      <c r="C121" s="8">
        <v>41644.97</v>
      </c>
      <c r="D121" s="8">
        <v>345.25</v>
      </c>
      <c r="E121" s="9">
        <v>8.2903169338337905E-3</v>
      </c>
      <c r="F121" s="10" t="s">
        <v>17</v>
      </c>
      <c r="G121" s="10" t="s">
        <v>17</v>
      </c>
    </row>
    <row r="122" spans="1:7" x14ac:dyDescent="0.25">
      <c r="A122" s="6" t="s">
        <v>138</v>
      </c>
      <c r="B122" s="7" t="s">
        <v>283</v>
      </c>
      <c r="C122" s="8">
        <v>40960.67</v>
      </c>
      <c r="D122" s="8">
        <v>509.96</v>
      </c>
      <c r="E122" s="9">
        <v>1.2449991662734E-2</v>
      </c>
      <c r="F122" s="10" t="s">
        <v>17</v>
      </c>
      <c r="G122" s="10" t="s">
        <v>17</v>
      </c>
    </row>
    <row r="123" spans="1:7" x14ac:dyDescent="0.25">
      <c r="A123" s="6" t="s">
        <v>139</v>
      </c>
      <c r="B123" s="7" t="s">
        <v>310</v>
      </c>
      <c r="C123" s="8">
        <v>40591.22</v>
      </c>
      <c r="D123" s="8">
        <v>8090.51</v>
      </c>
      <c r="E123" s="9">
        <v>0.199316748794444</v>
      </c>
      <c r="F123" s="10" t="s">
        <v>17</v>
      </c>
      <c r="G123" s="10" t="s">
        <v>17</v>
      </c>
    </row>
    <row r="124" spans="1:7" x14ac:dyDescent="0.25">
      <c r="A124" s="6" t="s">
        <v>140</v>
      </c>
      <c r="B124" s="7" t="s">
        <v>263</v>
      </c>
      <c r="C124" s="8">
        <v>36920.959999999999</v>
      </c>
      <c r="D124" s="8">
        <v>990.22</v>
      </c>
      <c r="E124" s="9">
        <v>2.6819996013104801E-2</v>
      </c>
      <c r="F124" s="10" t="s">
        <v>17</v>
      </c>
      <c r="G124" s="10" t="s">
        <v>17</v>
      </c>
    </row>
    <row r="125" spans="1:7" x14ac:dyDescent="0.25">
      <c r="A125" s="6" t="s">
        <v>141</v>
      </c>
      <c r="B125" s="7" t="s">
        <v>251</v>
      </c>
      <c r="C125" s="8">
        <v>35833.51</v>
      </c>
      <c r="D125" s="8">
        <v>1935.62</v>
      </c>
      <c r="E125" s="9">
        <v>5.4017036009031801E-2</v>
      </c>
      <c r="F125" s="10" t="s">
        <v>17</v>
      </c>
      <c r="G125" s="10" t="s">
        <v>17</v>
      </c>
    </row>
    <row r="126" spans="1:7" x14ac:dyDescent="0.25">
      <c r="A126" s="6" t="s">
        <v>142</v>
      </c>
      <c r="B126" s="7" t="s">
        <v>266</v>
      </c>
      <c r="C126" s="8">
        <v>34317.57</v>
      </c>
      <c r="D126" s="8">
        <v>11632.65</v>
      </c>
      <c r="E126" s="9">
        <v>0.33897067886799698</v>
      </c>
      <c r="F126" s="10" t="s">
        <v>17</v>
      </c>
      <c r="G126" s="10" t="s">
        <v>17</v>
      </c>
    </row>
    <row r="127" spans="1:7" x14ac:dyDescent="0.25">
      <c r="A127" s="6" t="s">
        <v>143</v>
      </c>
      <c r="B127" s="7" t="s">
        <v>265</v>
      </c>
      <c r="C127" s="8">
        <v>31620.04</v>
      </c>
      <c r="D127" s="8">
        <v>4907.5600000000004</v>
      </c>
      <c r="E127" s="9">
        <v>0.15520410473863999</v>
      </c>
      <c r="F127" s="10" t="s">
        <v>17</v>
      </c>
      <c r="G127" s="10" t="s">
        <v>17</v>
      </c>
    </row>
    <row r="128" spans="1:7" x14ac:dyDescent="0.25">
      <c r="A128" s="6" t="s">
        <v>144</v>
      </c>
      <c r="B128" s="7" t="s">
        <v>264</v>
      </c>
      <c r="C128" s="8">
        <v>30921.81</v>
      </c>
      <c r="D128" s="8">
        <v>1330.61</v>
      </c>
      <c r="E128" s="9">
        <v>4.3031439621419303E-2</v>
      </c>
      <c r="F128" s="10" t="s">
        <v>17</v>
      </c>
      <c r="G128" s="10" t="s">
        <v>17</v>
      </c>
    </row>
    <row r="129" spans="1:7" x14ac:dyDescent="0.25">
      <c r="A129" s="6" t="s">
        <v>145</v>
      </c>
      <c r="B129" s="7" t="s">
        <v>311</v>
      </c>
      <c r="C129" s="8">
        <v>28000.46</v>
      </c>
      <c r="D129" s="8">
        <v>2376</v>
      </c>
      <c r="E129" s="9">
        <v>8.4855748798412595E-2</v>
      </c>
      <c r="F129" s="10" t="s">
        <v>17</v>
      </c>
      <c r="G129" s="10" t="s">
        <v>17</v>
      </c>
    </row>
    <row r="130" spans="1:7" x14ac:dyDescent="0.25">
      <c r="A130" s="6" t="s">
        <v>146</v>
      </c>
      <c r="B130" s="7" t="s">
        <v>268</v>
      </c>
      <c r="C130" s="8">
        <v>17270.900000000001</v>
      </c>
      <c r="D130" s="8">
        <v>870.28</v>
      </c>
      <c r="E130" s="9">
        <v>5.0389962306538701E-2</v>
      </c>
      <c r="F130" s="10" t="s">
        <v>17</v>
      </c>
      <c r="G130" s="10" t="s">
        <v>17</v>
      </c>
    </row>
    <row r="131" spans="1:7" x14ac:dyDescent="0.25">
      <c r="A131" s="6" t="s">
        <v>147</v>
      </c>
      <c r="B131" s="7" t="s">
        <v>267</v>
      </c>
      <c r="C131" s="8">
        <v>17246.330000000002</v>
      </c>
      <c r="D131" s="8">
        <v>1233.58</v>
      </c>
      <c r="E131" s="9">
        <v>7.15271017080156E-2</v>
      </c>
      <c r="F131" s="10" t="s">
        <v>17</v>
      </c>
      <c r="G131" s="10" t="s">
        <v>17</v>
      </c>
    </row>
    <row r="132" spans="1:7" x14ac:dyDescent="0.25">
      <c r="A132" s="6" t="s">
        <v>148</v>
      </c>
      <c r="B132" s="7" t="s">
        <v>269</v>
      </c>
      <c r="C132" s="8">
        <v>14703.84</v>
      </c>
      <c r="D132" s="8">
        <v>1490.94</v>
      </c>
      <c r="E132" s="9">
        <v>0.10139800215453899</v>
      </c>
      <c r="F132" s="10" t="s">
        <v>17</v>
      </c>
      <c r="G132" s="10" t="s">
        <v>17</v>
      </c>
    </row>
    <row r="133" spans="1:7" x14ac:dyDescent="0.25">
      <c r="A133" s="6" t="s">
        <v>149</v>
      </c>
      <c r="B133" s="7" t="s">
        <v>270</v>
      </c>
      <c r="C133" s="8">
        <v>14474.46</v>
      </c>
      <c r="D133" s="8">
        <v>120.25</v>
      </c>
      <c r="E133" s="9">
        <v>8.3077365235041598E-3</v>
      </c>
      <c r="F133" s="10" t="s">
        <v>17</v>
      </c>
      <c r="G133" s="10" t="s">
        <v>17</v>
      </c>
    </row>
    <row r="134" spans="1:7" x14ac:dyDescent="0.25">
      <c r="A134" s="6" t="s">
        <v>150</v>
      </c>
      <c r="B134" s="7" t="s">
        <v>277</v>
      </c>
      <c r="C134" s="8">
        <v>13749.69</v>
      </c>
      <c r="D134" s="8">
        <v>793.93</v>
      </c>
      <c r="E134" s="9">
        <v>5.7741665448457401E-2</v>
      </c>
      <c r="F134" s="10" t="s">
        <v>17</v>
      </c>
      <c r="G134" s="10" t="s">
        <v>17</v>
      </c>
    </row>
    <row r="135" spans="1:7" x14ac:dyDescent="0.25">
      <c r="A135" s="6" t="s">
        <v>151</v>
      </c>
      <c r="B135" s="7" t="s">
        <v>286</v>
      </c>
      <c r="C135" s="8">
        <v>7914.62</v>
      </c>
      <c r="D135" s="8">
        <v>81.739999999999995</v>
      </c>
      <c r="E135" s="9">
        <v>1.03277226196583E-2</v>
      </c>
      <c r="F135" s="10" t="s">
        <v>17</v>
      </c>
      <c r="G135" s="10" t="s">
        <v>17</v>
      </c>
    </row>
    <row r="136" spans="1:7" x14ac:dyDescent="0.25">
      <c r="A136" s="6" t="s">
        <v>152</v>
      </c>
      <c r="B136" s="7" t="s">
        <v>322</v>
      </c>
      <c r="C136" s="8">
        <v>3758.69</v>
      </c>
      <c r="D136" s="8">
        <v>37.25</v>
      </c>
      <c r="E136" s="9">
        <v>9.9103677078982294E-3</v>
      </c>
      <c r="F136" s="10" t="s">
        <v>17</v>
      </c>
      <c r="G136" s="10" t="s">
        <v>17</v>
      </c>
    </row>
    <row r="137" spans="1:7" x14ac:dyDescent="0.25">
      <c r="A137" s="6" t="s">
        <v>153</v>
      </c>
      <c r="B137" s="7" t="s">
        <v>312</v>
      </c>
      <c r="C137" s="8">
        <v>2441.75</v>
      </c>
      <c r="D137" s="8">
        <v>52.68</v>
      </c>
      <c r="E137" s="9">
        <v>2.1574690283608099E-2</v>
      </c>
      <c r="F137" s="10" t="s">
        <v>17</v>
      </c>
      <c r="G137" s="10" t="s">
        <v>17</v>
      </c>
    </row>
    <row r="138" spans="1:7" x14ac:dyDescent="0.25">
      <c r="A138" s="6" t="s">
        <v>154</v>
      </c>
      <c r="B138" s="7" t="s">
        <v>313</v>
      </c>
      <c r="C138" s="8">
        <v>1906.26</v>
      </c>
      <c r="D138" s="8">
        <v>282.63</v>
      </c>
      <c r="E138" s="9">
        <v>0.14826414025369</v>
      </c>
      <c r="F138" s="10" t="s">
        <v>17</v>
      </c>
      <c r="G138" s="10" t="s">
        <v>17</v>
      </c>
    </row>
    <row r="139" spans="1:7" x14ac:dyDescent="0.25">
      <c r="A139" s="6" t="s">
        <v>155</v>
      </c>
      <c r="B139" s="7" t="s">
        <v>323</v>
      </c>
      <c r="C139" s="8">
        <v>1000.02</v>
      </c>
      <c r="D139" s="8">
        <v>1000.02</v>
      </c>
      <c r="E139" s="9">
        <v>1</v>
      </c>
      <c r="F139" s="10" t="s">
        <v>17</v>
      </c>
      <c r="G139" s="10" t="s">
        <v>17</v>
      </c>
    </row>
    <row r="140" spans="1:7" x14ac:dyDescent="0.25">
      <c r="A140" s="6" t="s">
        <v>156</v>
      </c>
      <c r="B140" s="7" t="s">
        <v>324</v>
      </c>
      <c r="C140" s="8">
        <v>492.78</v>
      </c>
      <c r="D140" s="8">
        <v>81.819999999999993</v>
      </c>
      <c r="E140" s="9">
        <v>0.16603758269410299</v>
      </c>
      <c r="F140" s="10" t="s">
        <v>17</v>
      </c>
      <c r="G140" s="10" t="s">
        <v>17</v>
      </c>
    </row>
    <row r="141" spans="1:7" x14ac:dyDescent="0.25">
      <c r="A141" s="6" t="s">
        <v>328</v>
      </c>
      <c r="B141" s="7" t="s">
        <v>318</v>
      </c>
      <c r="C141" s="8">
        <v>299.95</v>
      </c>
      <c r="D141" s="8">
        <v>299.95</v>
      </c>
      <c r="E141" s="9">
        <v>1</v>
      </c>
      <c r="F141" s="10" t="s">
        <v>17</v>
      </c>
      <c r="G141" s="10" t="s">
        <v>17</v>
      </c>
    </row>
    <row r="142" spans="1:7" x14ac:dyDescent="0.25">
      <c r="A142" s="6" t="s">
        <v>330</v>
      </c>
      <c r="B142" s="7" t="s">
        <v>319</v>
      </c>
      <c r="C142" s="8">
        <v>0</v>
      </c>
      <c r="D142" s="8">
        <v>0</v>
      </c>
      <c r="E142" s="9">
        <v>0</v>
      </c>
      <c r="F142" s="10" t="s">
        <v>17</v>
      </c>
      <c r="G142" s="10" t="s">
        <v>17</v>
      </c>
    </row>
    <row r="143" spans="1:7" x14ac:dyDescent="0.25">
      <c r="C143" s="8"/>
      <c r="D143" s="8"/>
      <c r="E143" s="9"/>
    </row>
    <row r="144" spans="1:7" x14ac:dyDescent="0.25">
      <c r="C144" s="8"/>
      <c r="D144" s="8"/>
      <c r="E144" s="9"/>
    </row>
    <row r="145" spans="1:7" x14ac:dyDescent="0.25">
      <c r="C145" s="8"/>
      <c r="D145" s="8"/>
      <c r="E145" s="9"/>
    </row>
    <row r="146" spans="1:7" x14ac:dyDescent="0.25">
      <c r="C146" s="8"/>
      <c r="D146" s="8" t="s">
        <v>298</v>
      </c>
      <c r="E146" s="9"/>
    </row>
    <row r="147" spans="1:7" ht="31.5" x14ac:dyDescent="0.25">
      <c r="A147" s="18"/>
      <c r="B147" s="19" t="s">
        <v>157</v>
      </c>
      <c r="C147" s="3" t="s">
        <v>158</v>
      </c>
      <c r="D147" s="3" t="s">
        <v>159</v>
      </c>
      <c r="E147" s="4" t="s">
        <v>160</v>
      </c>
      <c r="F147" s="5" t="s">
        <v>161</v>
      </c>
      <c r="G147" s="5" t="s">
        <v>162</v>
      </c>
    </row>
    <row r="148" spans="1:7" x14ac:dyDescent="0.25">
      <c r="A148" s="6" t="s">
        <v>18</v>
      </c>
      <c r="B148" s="7" t="s">
        <v>315</v>
      </c>
      <c r="C148" s="8">
        <v>3000329.6</v>
      </c>
      <c r="D148" s="8">
        <v>3000329.6</v>
      </c>
      <c r="E148" s="9">
        <v>1</v>
      </c>
      <c r="F148" s="10" t="s">
        <v>17</v>
      </c>
      <c r="G148" s="10" t="s">
        <v>17</v>
      </c>
    </row>
    <row r="149" spans="1:7" x14ac:dyDescent="0.25">
      <c r="A149" s="6" t="s">
        <v>19</v>
      </c>
      <c r="B149" s="7" t="s">
        <v>183</v>
      </c>
      <c r="C149" s="8">
        <v>1276030.03</v>
      </c>
      <c r="D149" s="8">
        <v>203094.28</v>
      </c>
      <c r="E149" s="9">
        <v>0.15916105046524701</v>
      </c>
      <c r="F149" s="10" t="s">
        <v>17</v>
      </c>
      <c r="G149" s="10" t="s">
        <v>17</v>
      </c>
    </row>
    <row r="150" spans="1:7" x14ac:dyDescent="0.25">
      <c r="A150" s="6" t="s">
        <v>20</v>
      </c>
      <c r="B150" s="7" t="s">
        <v>165</v>
      </c>
      <c r="C150" s="8">
        <v>1126862.7</v>
      </c>
      <c r="D150" s="8">
        <v>1117478.24</v>
      </c>
      <c r="E150" s="9">
        <v>0.991672046647742</v>
      </c>
      <c r="F150" s="10" t="s">
        <v>17</v>
      </c>
      <c r="G150" s="10" t="s">
        <v>17</v>
      </c>
    </row>
    <row r="151" spans="1:7" x14ac:dyDescent="0.25">
      <c r="A151" s="6" t="s">
        <v>21</v>
      </c>
      <c r="B151" s="7" t="s">
        <v>244</v>
      </c>
      <c r="C151" s="8">
        <v>972928.72</v>
      </c>
      <c r="D151" s="8">
        <v>751.15</v>
      </c>
      <c r="E151" s="9">
        <v>7.72050392345289E-4</v>
      </c>
      <c r="F151" s="10" t="s">
        <v>17</v>
      </c>
      <c r="G151" s="10" t="s">
        <v>17</v>
      </c>
    </row>
    <row r="152" spans="1:7" x14ac:dyDescent="0.25">
      <c r="A152" s="6" t="s">
        <v>22</v>
      </c>
      <c r="B152" s="7" t="s">
        <v>278</v>
      </c>
      <c r="C152" s="8">
        <v>708431.9</v>
      </c>
      <c r="D152" s="8">
        <v>291853.13</v>
      </c>
      <c r="E152" s="9">
        <v>0.41197062131166001</v>
      </c>
      <c r="F152" s="10" t="s">
        <v>17</v>
      </c>
      <c r="G152" s="10" t="s">
        <v>17</v>
      </c>
    </row>
    <row r="153" spans="1:7" x14ac:dyDescent="0.25">
      <c r="A153" s="6" t="s">
        <v>23</v>
      </c>
      <c r="B153" s="7" t="s">
        <v>325</v>
      </c>
      <c r="C153" s="8">
        <v>589922</v>
      </c>
      <c r="D153" s="8">
        <v>589922</v>
      </c>
      <c r="E153" s="9">
        <v>1</v>
      </c>
      <c r="F153" s="10" t="s">
        <v>17</v>
      </c>
      <c r="G153" s="10" t="s">
        <v>17</v>
      </c>
    </row>
    <row r="154" spans="1:7" x14ac:dyDescent="0.25">
      <c r="A154" s="6" t="s">
        <v>24</v>
      </c>
      <c r="B154" s="7" t="s">
        <v>182</v>
      </c>
      <c r="C154" s="8">
        <v>516673.13</v>
      </c>
      <c r="D154" s="8">
        <v>516673.13</v>
      </c>
      <c r="E154" s="9">
        <v>1</v>
      </c>
      <c r="F154" s="10" t="s">
        <v>17</v>
      </c>
      <c r="G154" s="10" t="s">
        <v>17</v>
      </c>
    </row>
    <row r="155" spans="1:7" x14ac:dyDescent="0.25">
      <c r="A155" s="6" t="s">
        <v>25</v>
      </c>
      <c r="B155" s="7" t="s">
        <v>189</v>
      </c>
      <c r="C155" s="8">
        <v>293540.15999999997</v>
      </c>
      <c r="D155" s="8">
        <v>293540.15999999997</v>
      </c>
      <c r="E155" s="9">
        <v>1</v>
      </c>
      <c r="F155" s="10" t="s">
        <v>17</v>
      </c>
      <c r="G155" s="10" t="s">
        <v>17</v>
      </c>
    </row>
    <row r="156" spans="1:7" x14ac:dyDescent="0.25">
      <c r="A156" s="6" t="s">
        <v>26</v>
      </c>
      <c r="B156" s="7" t="s">
        <v>280</v>
      </c>
      <c r="C156" s="8">
        <v>223943.64</v>
      </c>
      <c r="D156" s="8">
        <v>887.73</v>
      </c>
      <c r="E156" s="9">
        <v>3.9640777474189504E-3</v>
      </c>
      <c r="F156" s="10" t="s">
        <v>17</v>
      </c>
      <c r="G156" s="10" t="s">
        <v>17</v>
      </c>
    </row>
    <row r="157" spans="1:7" x14ac:dyDescent="0.25">
      <c r="A157" s="6" t="s">
        <v>27</v>
      </c>
      <c r="B157" s="7" t="s">
        <v>173</v>
      </c>
      <c r="C157" s="8">
        <v>209131.09</v>
      </c>
      <c r="D157" s="8">
        <v>28541.66</v>
      </c>
      <c r="E157" s="9">
        <v>0.136477364508548</v>
      </c>
      <c r="F157" s="10" t="s">
        <v>17</v>
      </c>
      <c r="G157" s="10" t="s">
        <v>17</v>
      </c>
    </row>
    <row r="158" spans="1:7" x14ac:dyDescent="0.25">
      <c r="A158" s="6" t="s">
        <v>28</v>
      </c>
      <c r="B158" s="7" t="s">
        <v>205</v>
      </c>
      <c r="C158" s="8">
        <v>206691.35</v>
      </c>
      <c r="D158" s="8">
        <v>23301.82</v>
      </c>
      <c r="E158" s="9">
        <v>0.112737277104243</v>
      </c>
      <c r="F158" s="10" t="s">
        <v>17</v>
      </c>
      <c r="G158" s="10" t="s">
        <v>17</v>
      </c>
    </row>
    <row r="159" spans="1:7" x14ac:dyDescent="0.25">
      <c r="A159" s="6" t="s">
        <v>29</v>
      </c>
      <c r="B159" s="7" t="s">
        <v>186</v>
      </c>
      <c r="C159" s="8">
        <v>202257.15</v>
      </c>
      <c r="D159" s="8">
        <v>202257.15</v>
      </c>
      <c r="E159" s="9">
        <v>1</v>
      </c>
      <c r="F159" s="10" t="s">
        <v>17</v>
      </c>
      <c r="G159" s="10" t="s">
        <v>17</v>
      </c>
    </row>
    <row r="160" spans="1:7" x14ac:dyDescent="0.25">
      <c r="A160" s="6" t="s">
        <v>30</v>
      </c>
      <c r="B160" s="7" t="s">
        <v>224</v>
      </c>
      <c r="C160" s="8">
        <v>201401.3</v>
      </c>
      <c r="D160" s="8">
        <v>201401.3</v>
      </c>
      <c r="E160" s="9">
        <v>1</v>
      </c>
      <c r="F160" s="10" t="s">
        <v>17</v>
      </c>
      <c r="G160" s="10" t="s">
        <v>17</v>
      </c>
    </row>
    <row r="161" spans="1:7" x14ac:dyDescent="0.25">
      <c r="A161" s="6" t="s">
        <v>31</v>
      </c>
      <c r="B161" s="7" t="s">
        <v>195</v>
      </c>
      <c r="C161" s="8">
        <v>171332.39</v>
      </c>
      <c r="D161" s="8">
        <v>70896.710000000006</v>
      </c>
      <c r="E161" s="9">
        <v>0.41379630553218799</v>
      </c>
      <c r="F161" s="10" t="s">
        <v>17</v>
      </c>
      <c r="G161" s="10" t="s">
        <v>17</v>
      </c>
    </row>
    <row r="162" spans="1:7" x14ac:dyDescent="0.25">
      <c r="A162" s="6" t="s">
        <v>32</v>
      </c>
      <c r="B162" s="7" t="s">
        <v>180</v>
      </c>
      <c r="C162" s="8">
        <v>158286.9</v>
      </c>
      <c r="D162" s="8">
        <v>1251.25</v>
      </c>
      <c r="E162" s="9">
        <v>7.9049498094914995E-3</v>
      </c>
      <c r="F162" s="10" t="s">
        <v>17</v>
      </c>
      <c r="G162" s="10" t="s">
        <v>17</v>
      </c>
    </row>
    <row r="163" spans="1:7" x14ac:dyDescent="0.25">
      <c r="A163" s="6" t="s">
        <v>33</v>
      </c>
      <c r="B163" s="7" t="s">
        <v>163</v>
      </c>
      <c r="C163" s="8">
        <v>150364.76</v>
      </c>
      <c r="D163" s="8">
        <v>50.14</v>
      </c>
      <c r="E163" s="9">
        <v>3.3345579110424502E-4</v>
      </c>
      <c r="F163" s="10" t="s">
        <v>17</v>
      </c>
      <c r="G163" s="10" t="s">
        <v>17</v>
      </c>
    </row>
    <row r="164" spans="1:7" x14ac:dyDescent="0.25">
      <c r="A164" s="6" t="s">
        <v>34</v>
      </c>
      <c r="B164" s="7" t="s">
        <v>211</v>
      </c>
      <c r="C164" s="8">
        <v>145797.68</v>
      </c>
      <c r="D164" s="8">
        <v>12266.13</v>
      </c>
      <c r="E164" s="9">
        <v>8.4131174103730597E-2</v>
      </c>
      <c r="F164" s="10" t="s">
        <v>17</v>
      </c>
      <c r="G164" s="10" t="s">
        <v>17</v>
      </c>
    </row>
    <row r="165" spans="1:7" x14ac:dyDescent="0.25">
      <c r="A165" s="6" t="s">
        <v>35</v>
      </c>
      <c r="B165" s="7" t="s">
        <v>254</v>
      </c>
      <c r="C165" s="8">
        <v>140015.76999999999</v>
      </c>
      <c r="D165" s="8">
        <v>16531.11</v>
      </c>
      <c r="E165" s="9">
        <v>0.11806605784477001</v>
      </c>
      <c r="F165" s="10" t="s">
        <v>17</v>
      </c>
      <c r="G165" s="10" t="s">
        <v>17</v>
      </c>
    </row>
    <row r="166" spans="1:7" x14ac:dyDescent="0.25">
      <c r="A166" s="6" t="s">
        <v>36</v>
      </c>
      <c r="B166" s="7" t="s">
        <v>279</v>
      </c>
      <c r="C166" s="8">
        <v>134908.72</v>
      </c>
      <c r="D166" s="8">
        <v>134908.72</v>
      </c>
      <c r="E166" s="9">
        <v>1</v>
      </c>
      <c r="F166" s="10" t="s">
        <v>17</v>
      </c>
      <c r="G166" s="10" t="s">
        <v>17</v>
      </c>
    </row>
    <row r="167" spans="1:7" x14ac:dyDescent="0.25">
      <c r="A167" s="6" t="s">
        <v>37</v>
      </c>
      <c r="B167" s="7" t="s">
        <v>187</v>
      </c>
      <c r="C167" s="8">
        <v>131167.23000000001</v>
      </c>
      <c r="D167" s="8">
        <v>131167.23000000001</v>
      </c>
      <c r="E167" s="9">
        <v>1</v>
      </c>
      <c r="F167" s="10" t="s">
        <v>17</v>
      </c>
      <c r="G167" s="10" t="s">
        <v>17</v>
      </c>
    </row>
    <row r="168" spans="1:7" x14ac:dyDescent="0.25">
      <c r="A168" s="6" t="s">
        <v>38</v>
      </c>
      <c r="B168" s="7" t="s">
        <v>303</v>
      </c>
      <c r="C168" s="8">
        <v>121006.87</v>
      </c>
      <c r="D168" s="8">
        <v>121006.87</v>
      </c>
      <c r="E168" s="9">
        <v>1</v>
      </c>
      <c r="F168" s="10" t="s">
        <v>17</v>
      </c>
      <c r="G168" s="10" t="s">
        <v>17</v>
      </c>
    </row>
    <row r="169" spans="1:7" x14ac:dyDescent="0.25">
      <c r="A169" s="6" t="s">
        <v>39</v>
      </c>
      <c r="B169" s="7" t="s">
        <v>215</v>
      </c>
      <c r="C169" s="8">
        <v>119933.89</v>
      </c>
      <c r="D169" s="8">
        <v>935.69</v>
      </c>
      <c r="E169" s="9">
        <v>7.8017147613572797E-3</v>
      </c>
      <c r="F169" s="10" t="s">
        <v>17</v>
      </c>
      <c r="G169" s="10" t="s">
        <v>17</v>
      </c>
    </row>
    <row r="170" spans="1:7" x14ac:dyDescent="0.25">
      <c r="A170" s="6" t="s">
        <v>40</v>
      </c>
      <c r="B170" s="7" t="s">
        <v>308</v>
      </c>
      <c r="C170" s="8">
        <v>99669.290599999993</v>
      </c>
      <c r="D170" s="8">
        <v>2017.19</v>
      </c>
      <c r="E170" s="9">
        <v>2.0238831718944701E-2</v>
      </c>
      <c r="F170" s="10" t="s">
        <v>17</v>
      </c>
      <c r="G170" s="10" t="s">
        <v>17</v>
      </c>
    </row>
    <row r="171" spans="1:7" x14ac:dyDescent="0.25">
      <c r="A171" s="6" t="s">
        <v>41</v>
      </c>
      <c r="B171" s="7" t="s">
        <v>294</v>
      </c>
      <c r="C171" s="8">
        <v>83772.210000000006</v>
      </c>
      <c r="D171" s="8">
        <v>46107.81</v>
      </c>
      <c r="E171" s="9">
        <v>0.55039505344314099</v>
      </c>
      <c r="F171" s="10" t="s">
        <v>17</v>
      </c>
      <c r="G171" s="10" t="s">
        <v>17</v>
      </c>
    </row>
    <row r="172" spans="1:7" x14ac:dyDescent="0.25">
      <c r="A172" s="6" t="s">
        <v>42</v>
      </c>
      <c r="B172" s="7" t="s">
        <v>184</v>
      </c>
      <c r="C172" s="8">
        <v>80131.839999999997</v>
      </c>
      <c r="D172" s="8">
        <v>80131.839999999997</v>
      </c>
      <c r="E172" s="9">
        <v>1</v>
      </c>
      <c r="F172" s="10" t="s">
        <v>17</v>
      </c>
      <c r="G172" s="10" t="s">
        <v>17</v>
      </c>
    </row>
    <row r="173" spans="1:7" x14ac:dyDescent="0.25">
      <c r="A173" s="6" t="s">
        <v>43</v>
      </c>
      <c r="B173" s="7" t="s">
        <v>280</v>
      </c>
      <c r="C173" s="8">
        <v>77267.53</v>
      </c>
      <c r="D173" s="8">
        <v>1167</v>
      </c>
      <c r="E173" s="9">
        <v>1.51033687759917E-2</v>
      </c>
      <c r="F173" s="10" t="s">
        <v>17</v>
      </c>
      <c r="G173" s="10" t="s">
        <v>17</v>
      </c>
    </row>
    <row r="174" spans="1:7" x14ac:dyDescent="0.25">
      <c r="A174" s="6" t="s">
        <v>44</v>
      </c>
      <c r="B174" s="7" t="s">
        <v>284</v>
      </c>
      <c r="C174" s="8">
        <v>58447.76</v>
      </c>
      <c r="D174" s="8">
        <v>11230.33</v>
      </c>
      <c r="E174" s="9">
        <v>0.19214303507953101</v>
      </c>
      <c r="F174" s="10" t="s">
        <v>17</v>
      </c>
      <c r="G174" s="10" t="s">
        <v>17</v>
      </c>
    </row>
    <row r="175" spans="1:7" x14ac:dyDescent="0.25">
      <c r="A175" s="6" t="s">
        <v>45</v>
      </c>
      <c r="B175" s="7" t="s">
        <v>175</v>
      </c>
      <c r="C175" s="8">
        <v>57342.77</v>
      </c>
      <c r="D175" s="8">
        <v>57342.77</v>
      </c>
      <c r="E175" s="9">
        <v>1</v>
      </c>
      <c r="F175" s="10" t="s">
        <v>17</v>
      </c>
      <c r="G175" s="10" t="s">
        <v>17</v>
      </c>
    </row>
    <row r="176" spans="1:7" x14ac:dyDescent="0.25">
      <c r="A176" s="6" t="s">
        <v>46</v>
      </c>
      <c r="B176" s="7" t="s">
        <v>227</v>
      </c>
      <c r="C176" s="8">
        <v>50059.42</v>
      </c>
      <c r="D176" s="8">
        <v>50059.42</v>
      </c>
      <c r="E176" s="9">
        <v>1</v>
      </c>
      <c r="F176" s="10" t="s">
        <v>17</v>
      </c>
      <c r="G176" s="10" t="s">
        <v>17</v>
      </c>
    </row>
    <row r="177" spans="1:7" x14ac:dyDescent="0.25">
      <c r="A177" s="6" t="s">
        <v>47</v>
      </c>
      <c r="B177" s="7" t="s">
        <v>248</v>
      </c>
      <c r="C177" s="8">
        <v>37314.75</v>
      </c>
      <c r="D177" s="8">
        <v>37314.75</v>
      </c>
      <c r="E177" s="9">
        <v>1</v>
      </c>
      <c r="F177" s="10" t="s">
        <v>17</v>
      </c>
      <c r="G177" s="10" t="s">
        <v>17</v>
      </c>
    </row>
    <row r="178" spans="1:7" x14ac:dyDescent="0.25">
      <c r="A178" s="6" t="s">
        <v>48</v>
      </c>
      <c r="B178" s="7" t="s">
        <v>261</v>
      </c>
      <c r="C178" s="8">
        <v>35369.040000000001</v>
      </c>
      <c r="D178" s="8">
        <v>9833.81</v>
      </c>
      <c r="E178" s="9">
        <v>0.27803440523124201</v>
      </c>
      <c r="F178" s="10" t="s">
        <v>17</v>
      </c>
      <c r="G178" s="10" t="s">
        <v>17</v>
      </c>
    </row>
    <row r="179" spans="1:7" x14ac:dyDescent="0.25">
      <c r="A179" s="6" t="s">
        <v>49</v>
      </c>
      <c r="B179" s="7" t="s">
        <v>190</v>
      </c>
      <c r="C179" s="8">
        <v>33618.79</v>
      </c>
      <c r="D179" s="8">
        <v>33618.79</v>
      </c>
      <c r="E179" s="9">
        <v>1</v>
      </c>
      <c r="F179" s="10" t="s">
        <v>17</v>
      </c>
      <c r="G179" s="10" t="s">
        <v>17</v>
      </c>
    </row>
    <row r="180" spans="1:7" x14ac:dyDescent="0.25">
      <c r="A180" s="6" t="s">
        <v>50</v>
      </c>
      <c r="B180" s="7" t="s">
        <v>220</v>
      </c>
      <c r="C180" s="8">
        <v>20872.25</v>
      </c>
      <c r="D180" s="8">
        <v>20872.25</v>
      </c>
      <c r="E180" s="9">
        <v>1</v>
      </c>
      <c r="F180" s="10" t="s">
        <v>17</v>
      </c>
      <c r="G180" s="10" t="s">
        <v>17</v>
      </c>
    </row>
    <row r="181" spans="1:7" x14ac:dyDescent="0.25">
      <c r="A181" s="6" t="s">
        <v>51</v>
      </c>
      <c r="B181" s="7" t="s">
        <v>285</v>
      </c>
      <c r="C181" s="8">
        <v>20002.439999999999</v>
      </c>
      <c r="D181" s="8">
        <v>20002.439999999999</v>
      </c>
      <c r="E181" s="9">
        <v>1</v>
      </c>
      <c r="F181" s="10" t="s">
        <v>17</v>
      </c>
      <c r="G181" s="10" t="s">
        <v>17</v>
      </c>
    </row>
    <row r="182" spans="1:7" x14ac:dyDescent="0.25">
      <c r="A182" s="6" t="s">
        <v>52</v>
      </c>
      <c r="B182" s="7" t="s">
        <v>287</v>
      </c>
      <c r="C182" s="8">
        <v>11669.23</v>
      </c>
      <c r="D182" s="8">
        <v>285.43</v>
      </c>
      <c r="E182" s="9">
        <v>2.4460054348059E-2</v>
      </c>
      <c r="F182" s="10" t="s">
        <v>17</v>
      </c>
      <c r="G182" s="10" t="s">
        <v>17</v>
      </c>
    </row>
    <row r="183" spans="1:7" x14ac:dyDescent="0.25">
      <c r="A183" s="6" t="s">
        <v>53</v>
      </c>
      <c r="B183" s="7" t="s">
        <v>164</v>
      </c>
      <c r="C183" s="8">
        <v>7290.03</v>
      </c>
      <c r="D183" s="8">
        <v>7290.03</v>
      </c>
      <c r="E183" s="9">
        <v>1</v>
      </c>
      <c r="F183" s="10" t="s">
        <v>17</v>
      </c>
      <c r="G183" s="10" t="s">
        <v>17</v>
      </c>
    </row>
    <row r="184" spans="1:7" x14ac:dyDescent="0.25">
      <c r="A184" s="6" t="s">
        <v>54</v>
      </c>
      <c r="B184" s="7" t="s">
        <v>238</v>
      </c>
      <c r="C184" s="8">
        <v>6165.24</v>
      </c>
      <c r="D184" s="8">
        <v>66.16</v>
      </c>
      <c r="E184" s="9">
        <v>1.07311313103788E-2</v>
      </c>
      <c r="F184" s="10" t="s">
        <v>17</v>
      </c>
      <c r="G184" s="10" t="s">
        <v>17</v>
      </c>
    </row>
    <row r="185" spans="1:7" x14ac:dyDescent="0.25">
      <c r="A185" s="6" t="s">
        <v>55</v>
      </c>
      <c r="B185" s="7" t="s">
        <v>261</v>
      </c>
      <c r="C185" s="8">
        <v>5505.76</v>
      </c>
      <c r="D185" s="8">
        <v>5505.76</v>
      </c>
      <c r="E185" s="9">
        <v>1</v>
      </c>
      <c r="F185" s="10" t="s">
        <v>17</v>
      </c>
      <c r="G185" s="10" t="s">
        <v>17</v>
      </c>
    </row>
    <row r="186" spans="1:7" x14ac:dyDescent="0.25">
      <c r="A186" s="6" t="s">
        <v>56</v>
      </c>
      <c r="B186" s="7" t="s">
        <v>288</v>
      </c>
      <c r="C186" s="8">
        <v>4923.59</v>
      </c>
      <c r="D186" s="8">
        <v>948.17</v>
      </c>
      <c r="E186" s="9">
        <v>0.192576961119833</v>
      </c>
      <c r="F186" s="10" t="s">
        <v>17</v>
      </c>
      <c r="G186" s="10" t="s">
        <v>17</v>
      </c>
    </row>
    <row r="187" spans="1:7" x14ac:dyDescent="0.25">
      <c r="A187" s="6" t="s">
        <v>57</v>
      </c>
      <c r="B187" s="7" t="s">
        <v>326</v>
      </c>
      <c r="C187" s="8">
        <v>2496.69</v>
      </c>
      <c r="D187" s="8">
        <v>2496.69</v>
      </c>
      <c r="E187" s="9">
        <v>1</v>
      </c>
      <c r="F187" s="10" t="s">
        <v>17</v>
      </c>
      <c r="G187" s="10" t="s">
        <v>17</v>
      </c>
    </row>
    <row r="188" spans="1:7" x14ac:dyDescent="0.25">
      <c r="A188" s="6" t="s">
        <v>58</v>
      </c>
      <c r="B188" s="7" t="s">
        <v>305</v>
      </c>
      <c r="C188" s="8">
        <v>2000</v>
      </c>
      <c r="D188" s="8">
        <v>2000</v>
      </c>
      <c r="E188" s="9">
        <v>1</v>
      </c>
      <c r="F188" s="10" t="s">
        <v>17</v>
      </c>
      <c r="G188" s="10" t="s">
        <v>17</v>
      </c>
    </row>
    <row r="189" spans="1:7" x14ac:dyDescent="0.25">
      <c r="A189" s="6" t="s">
        <v>59</v>
      </c>
      <c r="B189" s="7" t="s">
        <v>202</v>
      </c>
      <c r="C189" s="8">
        <v>1568.33</v>
      </c>
      <c r="D189" s="8">
        <v>19.43</v>
      </c>
      <c r="E189" s="9">
        <v>1.2388974259243899E-2</v>
      </c>
      <c r="F189" s="10" t="s">
        <v>17</v>
      </c>
      <c r="G189" s="10" t="s">
        <v>17</v>
      </c>
    </row>
    <row r="190" spans="1:7" x14ac:dyDescent="0.25">
      <c r="A190" s="6" t="s">
        <v>60</v>
      </c>
      <c r="B190" s="7" t="s">
        <v>289</v>
      </c>
      <c r="C190" s="8">
        <v>1237.3800000000001</v>
      </c>
      <c r="D190" s="8">
        <v>54.98</v>
      </c>
      <c r="E190" s="9">
        <v>4.4432591443210698E-2</v>
      </c>
      <c r="F190" s="10" t="s">
        <v>17</v>
      </c>
      <c r="G190" s="10" t="s">
        <v>17</v>
      </c>
    </row>
    <row r="191" spans="1:7" x14ac:dyDescent="0.25">
      <c r="A191" s="6" t="s">
        <v>61</v>
      </c>
      <c r="B191" s="7" t="s">
        <v>295</v>
      </c>
      <c r="C191" s="8">
        <v>1200.01</v>
      </c>
      <c r="D191" s="8">
        <v>1200.01</v>
      </c>
      <c r="E191" s="9">
        <v>1</v>
      </c>
      <c r="F191" s="10" t="s">
        <v>17</v>
      </c>
      <c r="G191" s="10" t="s">
        <v>17</v>
      </c>
    </row>
    <row r="192" spans="1:7" x14ac:dyDescent="0.25">
      <c r="A192" s="6" t="s">
        <v>62</v>
      </c>
      <c r="B192" s="7" t="s">
        <v>327</v>
      </c>
      <c r="C192" s="8">
        <v>1150.42</v>
      </c>
      <c r="D192" s="8">
        <v>1150.42</v>
      </c>
      <c r="E192" s="9">
        <v>1</v>
      </c>
      <c r="F192" s="10" t="s">
        <v>17</v>
      </c>
      <c r="G192" s="10" t="s">
        <v>17</v>
      </c>
    </row>
    <row r="193" spans="1:7" x14ac:dyDescent="0.25">
      <c r="A193" s="6" t="s">
        <v>63</v>
      </c>
      <c r="B193" s="7" t="s">
        <v>314</v>
      </c>
      <c r="C193" s="8">
        <v>1000.42</v>
      </c>
      <c r="D193" s="8">
        <v>1000.42</v>
      </c>
      <c r="E193" s="9">
        <v>1</v>
      </c>
      <c r="F193" s="10" t="s">
        <v>17</v>
      </c>
      <c r="G193" s="10" t="s">
        <v>17</v>
      </c>
    </row>
    <row r="194" spans="1:7" x14ac:dyDescent="0.25">
      <c r="A194" s="6" t="s">
        <v>64</v>
      </c>
      <c r="B194" s="7" t="s">
        <v>290</v>
      </c>
      <c r="C194" s="8">
        <v>646.01</v>
      </c>
      <c r="D194" s="8">
        <v>89.51</v>
      </c>
      <c r="E194" s="9">
        <v>0.13855822665283801</v>
      </c>
      <c r="F194" s="10" t="s">
        <v>17</v>
      </c>
      <c r="G194" s="10" t="s">
        <v>17</v>
      </c>
    </row>
    <row r="195" spans="1:7" x14ac:dyDescent="0.25">
      <c r="A195" s="6" t="s">
        <v>65</v>
      </c>
      <c r="B195" s="7" t="s">
        <v>204</v>
      </c>
      <c r="C195" s="8">
        <v>21.6</v>
      </c>
      <c r="D195" s="8">
        <v>21.6</v>
      </c>
      <c r="E195" s="9">
        <v>1</v>
      </c>
      <c r="F195" s="10" t="s">
        <v>17</v>
      </c>
      <c r="G195" s="10" t="s">
        <v>17</v>
      </c>
    </row>
    <row r="196" spans="1:7" x14ac:dyDescent="0.25">
      <c r="A196" s="6" t="s">
        <v>66</v>
      </c>
      <c r="B196" s="7" t="s">
        <v>271</v>
      </c>
      <c r="C196" s="8">
        <v>20.07</v>
      </c>
      <c r="D196" s="8">
        <v>20.07</v>
      </c>
      <c r="E196" s="9">
        <v>1</v>
      </c>
      <c r="F196" s="10" t="s">
        <v>17</v>
      </c>
      <c r="G196" s="10" t="s">
        <v>17</v>
      </c>
    </row>
    <row r="197" spans="1:7" x14ac:dyDescent="0.25">
      <c r="A197" s="6" t="s">
        <v>67</v>
      </c>
      <c r="B197" s="7" t="s">
        <v>297</v>
      </c>
      <c r="C197" s="8">
        <v>6.87</v>
      </c>
      <c r="D197" s="8">
        <v>6.87</v>
      </c>
      <c r="E197" s="9">
        <v>1</v>
      </c>
      <c r="F197" s="10" t="s">
        <v>17</v>
      </c>
      <c r="G197" s="10" t="s">
        <v>17</v>
      </c>
    </row>
    <row r="198" spans="1:7" x14ac:dyDescent="0.25">
      <c r="A198" s="6" t="s">
        <v>68</v>
      </c>
      <c r="B198" s="7" t="s">
        <v>296</v>
      </c>
      <c r="C198" s="8">
        <v>3.17</v>
      </c>
      <c r="D198" s="8">
        <v>3.17</v>
      </c>
      <c r="E198" s="9">
        <v>1</v>
      </c>
      <c r="F198" s="10" t="s">
        <v>17</v>
      </c>
      <c r="G198" s="10" t="s">
        <v>17</v>
      </c>
    </row>
    <row r="199" spans="1:7" x14ac:dyDescent="0.25">
      <c r="A199" s="6" t="s">
        <v>69</v>
      </c>
      <c r="B199" s="7" t="s">
        <v>281</v>
      </c>
      <c r="C199" s="8">
        <v>0.33</v>
      </c>
      <c r="D199" s="8">
        <v>0.33</v>
      </c>
      <c r="E199" s="9">
        <v>1</v>
      </c>
      <c r="F199" s="10" t="s">
        <v>17</v>
      </c>
      <c r="G199" s="10" t="s">
        <v>17</v>
      </c>
    </row>
    <row r="200" spans="1:7" x14ac:dyDescent="0.25">
      <c r="A200" s="6" t="s">
        <v>70</v>
      </c>
      <c r="B200" s="7" t="s">
        <v>230</v>
      </c>
      <c r="C200" s="8">
        <v>0.01</v>
      </c>
      <c r="D200" s="8">
        <v>0.01</v>
      </c>
      <c r="E200" s="9">
        <v>1</v>
      </c>
      <c r="F200" s="10" t="s">
        <v>17</v>
      </c>
      <c r="G200" s="10" t="s">
        <v>17</v>
      </c>
    </row>
    <row r="201" spans="1:7" x14ac:dyDescent="0.25">
      <c r="A201" s="6" t="s">
        <v>71</v>
      </c>
      <c r="B201" s="7" t="s">
        <v>208</v>
      </c>
      <c r="C201" s="8">
        <v>0.01</v>
      </c>
      <c r="D201" s="8">
        <v>0.01</v>
      </c>
      <c r="E201" s="9">
        <v>1</v>
      </c>
      <c r="F201" s="10" t="s">
        <v>17</v>
      </c>
      <c r="G201" s="10" t="s">
        <v>17</v>
      </c>
    </row>
    <row r="202" spans="1:7" x14ac:dyDescent="0.25">
      <c r="A202" s="6" t="s">
        <v>72</v>
      </c>
      <c r="B202" s="7" t="s">
        <v>286</v>
      </c>
      <c r="C202" s="8">
        <v>0</v>
      </c>
      <c r="D202" s="8">
        <v>0</v>
      </c>
      <c r="E202" s="9">
        <v>0</v>
      </c>
      <c r="F202" s="10" t="s">
        <v>17</v>
      </c>
      <c r="G202" s="10" t="s">
        <v>17</v>
      </c>
    </row>
    <row r="203" spans="1:7" x14ac:dyDescent="0.25">
      <c r="A203" s="6" t="s">
        <v>73</v>
      </c>
      <c r="B203" s="7" t="s">
        <v>210</v>
      </c>
      <c r="C203" s="8">
        <v>0</v>
      </c>
      <c r="D203" s="8">
        <v>0</v>
      </c>
      <c r="E203" s="9">
        <v>0</v>
      </c>
      <c r="F203" s="10" t="s">
        <v>17</v>
      </c>
      <c r="G203" s="10" t="s">
        <v>17</v>
      </c>
    </row>
    <row r="204" spans="1:7" x14ac:dyDescent="0.25">
      <c r="A204" s="6" t="s">
        <v>74</v>
      </c>
      <c r="B204" s="7" t="s">
        <v>219</v>
      </c>
      <c r="C204" s="8">
        <v>0</v>
      </c>
      <c r="D204" s="8">
        <v>0</v>
      </c>
      <c r="E204" s="9">
        <v>0</v>
      </c>
      <c r="F204" s="10" t="s">
        <v>17</v>
      </c>
      <c r="G204" s="10" t="s">
        <v>17</v>
      </c>
    </row>
    <row r="205" spans="1:7" x14ac:dyDescent="0.25">
      <c r="A205" s="6" t="s">
        <v>75</v>
      </c>
      <c r="B205" s="7" t="s">
        <v>262</v>
      </c>
      <c r="C205" s="8">
        <v>0</v>
      </c>
      <c r="D205" s="8">
        <v>0</v>
      </c>
      <c r="E205" s="9">
        <v>0</v>
      </c>
      <c r="F205" s="10" t="s">
        <v>17</v>
      </c>
      <c r="G205" s="10" t="s">
        <v>17</v>
      </c>
    </row>
    <row r="206" spans="1:7" x14ac:dyDescent="0.25">
      <c r="A206" s="6" t="s">
        <v>76</v>
      </c>
      <c r="B206" s="7" t="s">
        <v>282</v>
      </c>
      <c r="C206" s="8">
        <v>0</v>
      </c>
      <c r="D206" s="8">
        <v>0</v>
      </c>
      <c r="E206" s="9">
        <v>0</v>
      </c>
      <c r="F206" s="10" t="s">
        <v>17</v>
      </c>
      <c r="G206" s="10" t="s">
        <v>17</v>
      </c>
    </row>
    <row r="207" spans="1:7" x14ac:dyDescent="0.25">
      <c r="A207" s="6" t="s">
        <v>77</v>
      </c>
      <c r="B207" s="7" t="s">
        <v>229</v>
      </c>
      <c r="C207" s="8">
        <v>0</v>
      </c>
      <c r="D207" s="8">
        <v>0</v>
      </c>
      <c r="E207" s="9">
        <v>0</v>
      </c>
      <c r="F207" s="10" t="s">
        <v>17</v>
      </c>
      <c r="G207" s="10" t="s">
        <v>17</v>
      </c>
    </row>
    <row r="208" spans="1:7" x14ac:dyDescent="0.25">
      <c r="A208" s="6" t="s">
        <v>78</v>
      </c>
      <c r="B208" s="7" t="s">
        <v>221</v>
      </c>
      <c r="C208" s="8">
        <v>0</v>
      </c>
      <c r="D208" s="8">
        <v>0</v>
      </c>
      <c r="E208" s="9">
        <v>0</v>
      </c>
      <c r="F208" s="10" t="s">
        <v>17</v>
      </c>
      <c r="G208" s="10" t="s">
        <v>17</v>
      </c>
    </row>
    <row r="209" spans="2:5" x14ac:dyDescent="0.25">
      <c r="C209" s="8"/>
      <c r="D209" s="8"/>
      <c r="E209" s="9"/>
    </row>
    <row r="214" spans="2:5" x14ac:dyDescent="0.25">
      <c r="B214" s="20" t="s">
        <v>273</v>
      </c>
      <c r="C214" s="21">
        <f>SUM(C2:C146)</f>
        <v>90758169.246199965</v>
      </c>
      <c r="D214" s="21">
        <f>SUM(D2:D146)</f>
        <v>25469068.329999991</v>
      </c>
      <c r="E214" s="22">
        <f>(D214 / C214)</f>
        <v>0.28062562898233406</v>
      </c>
    </row>
    <row r="218" spans="2:5" x14ac:dyDescent="0.25">
      <c r="B218" s="20" t="s">
        <v>272</v>
      </c>
      <c r="C218" s="21">
        <f>SUM(C147:C212)</f>
        <v>11501730.240599997</v>
      </c>
      <c r="D218" s="21">
        <f>SUM(D147:D212)</f>
        <v>7350902.6700000009</v>
      </c>
      <c r="E218" s="22">
        <f>(D218 / C218)</f>
        <v>0.63911276966416963</v>
      </c>
    </row>
    <row r="222" spans="2:5" x14ac:dyDescent="0.25">
      <c r="B222" s="20" t="s">
        <v>274</v>
      </c>
      <c r="C222" s="21">
        <f>SUM(C2:C218) / 2</f>
        <v>102259899.48679999</v>
      </c>
      <c r="D222" s="21">
        <f>SUM(D2:D218) / 2</f>
        <v>32819971</v>
      </c>
      <c r="E222" s="22">
        <f>(D222 / C222)</f>
        <v>0.32094663856223038</v>
      </c>
    </row>
  </sheetData>
  <pageMargins left="0.7" right="0.7" top="0.75" bottom="0.75" header="0.3" footer="0.3"/>
  <pageSetup orientation="landscape" r:id="rId1"/>
  <headerFooter>
    <oddHeader>&amp;R&amp;B&amp;12As of &amp;D&amp;C&amp;B&amp;12Sunset West Daily Cash Percentage Report</oddHeader>
    <oddFooter>&amp;C&amp;B&amp;12&amp;P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EE440-0DDF-45D8-BF91-3FEBA8664DBA}">
  <dimension ref="A1:G222"/>
  <sheetViews>
    <sheetView topLeftCell="A191" workbookViewId="0">
      <selection sqref="A1:XFD1048576"/>
    </sheetView>
  </sheetViews>
  <sheetFormatPr defaultRowHeight="15.75" x14ac:dyDescent="0.25"/>
  <cols>
    <col min="1" max="1" width="5" style="10" bestFit="1" customWidth="1"/>
    <col min="2" max="2" width="26.28515625" style="7" customWidth="1"/>
    <col min="3" max="3" width="15.140625" style="10" customWidth="1"/>
    <col min="4" max="4" width="14" style="10" customWidth="1"/>
    <col min="5" max="5" width="9.140625" style="10"/>
    <col min="6" max="6" width="9.7109375" style="10" customWidth="1"/>
    <col min="7" max="7" width="10.42578125" style="10" customWidth="1"/>
    <col min="8" max="16384" width="9.140625" style="1"/>
  </cols>
  <sheetData>
    <row r="1" spans="1:7" ht="31.5" x14ac:dyDescent="0.25">
      <c r="A1" s="18"/>
      <c r="B1" s="2" t="s">
        <v>157</v>
      </c>
      <c r="C1" s="3" t="s">
        <v>158</v>
      </c>
      <c r="D1" s="3" t="s">
        <v>159</v>
      </c>
      <c r="E1" s="4" t="s">
        <v>160</v>
      </c>
      <c r="F1" s="5" t="s">
        <v>161</v>
      </c>
      <c r="G1" s="5" t="s">
        <v>162</v>
      </c>
    </row>
    <row r="2" spans="1:7" x14ac:dyDescent="0.25">
      <c r="A2" s="6" t="s">
        <v>18</v>
      </c>
      <c r="B2" s="7" t="s">
        <v>163</v>
      </c>
      <c r="C2" s="8">
        <v>5011509.68</v>
      </c>
      <c r="D2" s="8">
        <v>1020176.98</v>
      </c>
      <c r="E2" s="9">
        <v>0.20356679825868401</v>
      </c>
      <c r="F2" s="10" t="s">
        <v>0</v>
      </c>
      <c r="G2" s="11">
        <f>(D2 / F2)</f>
        <v>75.568665185185182</v>
      </c>
    </row>
    <row r="3" spans="1:7" x14ac:dyDescent="0.25">
      <c r="A3" s="6" t="s">
        <v>19</v>
      </c>
      <c r="B3" s="7" t="s">
        <v>297</v>
      </c>
      <c r="C3" s="8">
        <v>4925068.3899999997</v>
      </c>
      <c r="D3" s="8">
        <v>4925068.3899999997</v>
      </c>
      <c r="E3" s="9">
        <v>1</v>
      </c>
      <c r="F3" s="10" t="s">
        <v>17</v>
      </c>
      <c r="G3" s="10" t="s">
        <v>17</v>
      </c>
    </row>
    <row r="4" spans="1:7" x14ac:dyDescent="0.25">
      <c r="A4" s="6" t="s">
        <v>20</v>
      </c>
      <c r="B4" s="7" t="s">
        <v>168</v>
      </c>
      <c r="C4" s="8">
        <v>4303002.74</v>
      </c>
      <c r="D4" s="8">
        <v>1383849.46</v>
      </c>
      <c r="E4" s="9">
        <v>0.321600878181174</v>
      </c>
      <c r="F4" s="10" t="s">
        <v>17</v>
      </c>
      <c r="G4" s="10" t="s">
        <v>17</v>
      </c>
    </row>
    <row r="5" spans="1:7" x14ac:dyDescent="0.25">
      <c r="A5" s="6" t="s">
        <v>21</v>
      </c>
      <c r="B5" s="7" t="s">
        <v>165</v>
      </c>
      <c r="C5" s="8">
        <v>3339776.5520000001</v>
      </c>
      <c r="D5" s="8">
        <v>696790.43</v>
      </c>
      <c r="E5" s="9">
        <v>0.208633846950848</v>
      </c>
      <c r="F5" s="10" t="s">
        <v>17</v>
      </c>
      <c r="G5" s="10" t="s">
        <v>17</v>
      </c>
    </row>
    <row r="6" spans="1:7" x14ac:dyDescent="0.25">
      <c r="A6" s="6" t="s">
        <v>22</v>
      </c>
      <c r="B6" s="7" t="s">
        <v>166</v>
      </c>
      <c r="C6" s="8">
        <v>2959681.83</v>
      </c>
      <c r="D6" s="8">
        <v>504270.06</v>
      </c>
      <c r="E6" s="9">
        <v>0.17037982086067699</v>
      </c>
      <c r="F6" s="10" t="s">
        <v>17</v>
      </c>
      <c r="G6" s="10" t="s">
        <v>17</v>
      </c>
    </row>
    <row r="7" spans="1:7" x14ac:dyDescent="0.25">
      <c r="A7" s="6" t="s">
        <v>23</v>
      </c>
      <c r="B7" s="7" t="s">
        <v>164</v>
      </c>
      <c r="C7" s="8">
        <v>2946626.12</v>
      </c>
      <c r="D7" s="8">
        <v>557658.21</v>
      </c>
      <c r="E7" s="9">
        <v>0.18925312791294999</v>
      </c>
      <c r="F7" s="10" t="s">
        <v>1</v>
      </c>
      <c r="G7" s="11">
        <f>(D7 / F7)</f>
        <v>60.418007583965327</v>
      </c>
    </row>
    <row r="8" spans="1:7" x14ac:dyDescent="0.25">
      <c r="A8" s="6" t="s">
        <v>24</v>
      </c>
      <c r="B8" s="7" t="s">
        <v>167</v>
      </c>
      <c r="C8" s="8">
        <v>2584390.17</v>
      </c>
      <c r="D8" s="8">
        <v>1100481.08</v>
      </c>
      <c r="E8" s="9">
        <v>0.42581847461523198</v>
      </c>
      <c r="F8" s="10" t="s">
        <v>2</v>
      </c>
      <c r="G8" s="11">
        <f>(D8 / F8)</f>
        <v>428.53624610591902</v>
      </c>
    </row>
    <row r="9" spans="1:7" x14ac:dyDescent="0.25">
      <c r="A9" s="6" t="s">
        <v>25</v>
      </c>
      <c r="B9" s="7" t="s">
        <v>169</v>
      </c>
      <c r="C9" s="8">
        <v>2291300.54</v>
      </c>
      <c r="D9" s="8">
        <v>349842.6</v>
      </c>
      <c r="E9" s="9">
        <v>0.15268298239042899</v>
      </c>
      <c r="F9" s="10" t="s">
        <v>293</v>
      </c>
      <c r="G9" s="11">
        <f>(D9 / F9)</f>
        <v>36.825536842105258</v>
      </c>
    </row>
    <row r="10" spans="1:7" x14ac:dyDescent="0.25">
      <c r="A10" s="6" t="s">
        <v>26</v>
      </c>
      <c r="B10" s="7" t="s">
        <v>170</v>
      </c>
      <c r="C10" s="8">
        <v>2119087.64</v>
      </c>
      <c r="D10" s="8">
        <v>298828.01</v>
      </c>
      <c r="E10" s="9">
        <v>0.141017296481423</v>
      </c>
      <c r="F10" s="10" t="s">
        <v>3</v>
      </c>
      <c r="G10" s="11">
        <f>(D10 / F10)</f>
        <v>37.353501250000001</v>
      </c>
    </row>
    <row r="11" spans="1:7" x14ac:dyDescent="0.25">
      <c r="A11" s="6" t="s">
        <v>27</v>
      </c>
      <c r="B11" s="7" t="s">
        <v>171</v>
      </c>
      <c r="C11" s="8">
        <v>2018171.23</v>
      </c>
      <c r="D11" s="8">
        <v>311666.53000000003</v>
      </c>
      <c r="E11" s="9">
        <v>0.154430171913609</v>
      </c>
      <c r="F11" s="10" t="s">
        <v>17</v>
      </c>
      <c r="G11" s="10" t="s">
        <v>17</v>
      </c>
    </row>
    <row r="12" spans="1:7" x14ac:dyDescent="0.25">
      <c r="A12" s="6" t="s">
        <v>28</v>
      </c>
      <c r="B12" s="7" t="s">
        <v>172</v>
      </c>
      <c r="C12" s="8">
        <v>1916616.05</v>
      </c>
      <c r="D12" s="8">
        <v>386883.36</v>
      </c>
      <c r="E12" s="9">
        <v>0.20185751861986101</v>
      </c>
      <c r="F12" s="10" t="s">
        <v>17</v>
      </c>
      <c r="G12" s="10" t="s">
        <v>17</v>
      </c>
    </row>
    <row r="13" spans="1:7" x14ac:dyDescent="0.25">
      <c r="A13" s="6" t="s">
        <v>29</v>
      </c>
      <c r="B13" s="7" t="s">
        <v>316</v>
      </c>
      <c r="C13" s="8">
        <v>1897342.0707</v>
      </c>
      <c r="D13" s="8">
        <v>990960.62</v>
      </c>
      <c r="E13" s="9">
        <v>0.52228885623898003</v>
      </c>
      <c r="F13" s="10" t="s">
        <v>17</v>
      </c>
      <c r="G13" s="10" t="s">
        <v>17</v>
      </c>
    </row>
    <row r="14" spans="1:7" x14ac:dyDescent="0.25">
      <c r="A14" s="6" t="s">
        <v>30</v>
      </c>
      <c r="B14" s="7" t="s">
        <v>173</v>
      </c>
      <c r="C14" s="8">
        <v>1838694.57</v>
      </c>
      <c r="D14" s="8">
        <v>333100.45</v>
      </c>
      <c r="E14" s="9">
        <v>0.18116138233877499</v>
      </c>
      <c r="F14" s="10" t="s">
        <v>4</v>
      </c>
      <c r="G14" s="11">
        <f>(D14 / F14)</f>
        <v>55.516741666666668</v>
      </c>
    </row>
    <row r="15" spans="1:7" x14ac:dyDescent="0.25">
      <c r="A15" s="6" t="s">
        <v>31</v>
      </c>
      <c r="B15" s="7" t="s">
        <v>299</v>
      </c>
      <c r="C15" s="8">
        <v>1723841.31</v>
      </c>
      <c r="D15" s="8">
        <v>1155326.71</v>
      </c>
      <c r="E15" s="9">
        <v>0.670204793966795</v>
      </c>
      <c r="F15" s="10" t="s">
        <v>17</v>
      </c>
      <c r="G15" s="10" t="s">
        <v>17</v>
      </c>
    </row>
    <row r="16" spans="1:7" x14ac:dyDescent="0.25">
      <c r="A16" s="6" t="s">
        <v>32</v>
      </c>
      <c r="B16" s="7" t="s">
        <v>175</v>
      </c>
      <c r="C16" s="8">
        <v>1344995.95</v>
      </c>
      <c r="D16" s="8">
        <v>275292.24</v>
      </c>
      <c r="E16" s="9">
        <v>0.20467886167240901</v>
      </c>
      <c r="F16" s="10" t="s">
        <v>17</v>
      </c>
      <c r="G16" s="10" t="s">
        <v>17</v>
      </c>
    </row>
    <row r="17" spans="1:7" x14ac:dyDescent="0.25">
      <c r="A17" s="6" t="s">
        <v>33</v>
      </c>
      <c r="B17" s="7" t="s">
        <v>296</v>
      </c>
      <c r="C17" s="8">
        <v>1251471.99</v>
      </c>
      <c r="D17" s="8">
        <v>127242.55</v>
      </c>
      <c r="E17" s="9">
        <v>0.101674309146943</v>
      </c>
      <c r="F17" s="10" t="s">
        <v>17</v>
      </c>
      <c r="G17" s="10" t="s">
        <v>17</v>
      </c>
    </row>
    <row r="18" spans="1:7" x14ac:dyDescent="0.25">
      <c r="A18" s="6" t="s">
        <v>34</v>
      </c>
      <c r="B18" s="7" t="s">
        <v>177</v>
      </c>
      <c r="C18" s="8">
        <v>1239967.31</v>
      </c>
      <c r="D18" s="8">
        <v>266761.74</v>
      </c>
      <c r="E18" s="9">
        <v>0.21513610709624301</v>
      </c>
      <c r="F18" s="10" t="s">
        <v>5</v>
      </c>
      <c r="G18" s="11">
        <f>(D18 / F18)</f>
        <v>118.56077333333333</v>
      </c>
    </row>
    <row r="19" spans="1:7" x14ac:dyDescent="0.25">
      <c r="A19" s="6" t="s">
        <v>35</v>
      </c>
      <c r="B19" s="7" t="s">
        <v>178</v>
      </c>
      <c r="C19" s="8">
        <v>1237772.42</v>
      </c>
      <c r="D19" s="8">
        <v>265399.96999999997</v>
      </c>
      <c r="E19" s="9">
        <v>0.214417420934294</v>
      </c>
      <c r="F19" s="10" t="s">
        <v>17</v>
      </c>
      <c r="G19" s="10" t="s">
        <v>17</v>
      </c>
    </row>
    <row r="20" spans="1:7" x14ac:dyDescent="0.25">
      <c r="A20" s="6" t="s">
        <v>36</v>
      </c>
      <c r="B20" s="7" t="s">
        <v>176</v>
      </c>
      <c r="C20" s="8">
        <v>1237062.6399999999</v>
      </c>
      <c r="D20" s="8">
        <v>303902.09999999998</v>
      </c>
      <c r="E20" s="9">
        <v>0.24566427776042099</v>
      </c>
      <c r="F20" s="10" t="s">
        <v>17</v>
      </c>
      <c r="G20" s="10" t="s">
        <v>17</v>
      </c>
    </row>
    <row r="21" spans="1:7" x14ac:dyDescent="0.25">
      <c r="A21" s="6" t="s">
        <v>37</v>
      </c>
      <c r="B21" s="7" t="s">
        <v>182</v>
      </c>
      <c r="C21" s="8">
        <v>1223488.69</v>
      </c>
      <c r="D21" s="8">
        <v>38323.300000000003</v>
      </c>
      <c r="E21" s="9">
        <v>3.1322970382341699E-2</v>
      </c>
      <c r="F21" s="10" t="s">
        <v>17</v>
      </c>
      <c r="G21" s="10" t="s">
        <v>17</v>
      </c>
    </row>
    <row r="22" spans="1:7" x14ac:dyDescent="0.25">
      <c r="A22" s="6" t="s">
        <v>38</v>
      </c>
      <c r="B22" s="7" t="s">
        <v>184</v>
      </c>
      <c r="C22" s="8">
        <v>1141702.0900000001</v>
      </c>
      <c r="D22" s="8">
        <v>116128.63</v>
      </c>
      <c r="E22" s="9">
        <v>0.101715352031982</v>
      </c>
      <c r="F22" s="10" t="s">
        <v>17</v>
      </c>
      <c r="G22" s="10" t="s">
        <v>17</v>
      </c>
    </row>
    <row r="23" spans="1:7" x14ac:dyDescent="0.25">
      <c r="A23" s="6" t="s">
        <v>39</v>
      </c>
      <c r="B23" s="7" t="s">
        <v>180</v>
      </c>
      <c r="C23" s="8">
        <v>1138907.94</v>
      </c>
      <c r="D23" s="8">
        <v>297539.57</v>
      </c>
      <c r="E23" s="9">
        <v>0.26124988644824099</v>
      </c>
      <c r="F23" s="10" t="s">
        <v>17</v>
      </c>
      <c r="G23" s="10" t="s">
        <v>17</v>
      </c>
    </row>
    <row r="24" spans="1:7" x14ac:dyDescent="0.25">
      <c r="A24" s="6" t="s">
        <v>40</v>
      </c>
      <c r="B24" s="7" t="s">
        <v>186</v>
      </c>
      <c r="C24" s="8">
        <v>1135067.6100000001</v>
      </c>
      <c r="D24" s="8">
        <v>22405.66</v>
      </c>
      <c r="E24" s="9">
        <v>1.9739493755794899E-2</v>
      </c>
      <c r="F24" s="10" t="s">
        <v>17</v>
      </c>
      <c r="G24" s="10" t="s">
        <v>17</v>
      </c>
    </row>
    <row r="25" spans="1:7" x14ac:dyDescent="0.25">
      <c r="A25" s="6" t="s">
        <v>41</v>
      </c>
      <c r="B25" s="7" t="s">
        <v>189</v>
      </c>
      <c r="C25" s="8">
        <v>1130087.06</v>
      </c>
      <c r="D25" s="8">
        <v>291634.84999999998</v>
      </c>
      <c r="E25" s="9">
        <v>0.25806405570204499</v>
      </c>
      <c r="F25" s="10" t="s">
        <v>17</v>
      </c>
      <c r="G25" s="10" t="s">
        <v>17</v>
      </c>
    </row>
    <row r="26" spans="1:7" x14ac:dyDescent="0.25">
      <c r="A26" s="6" t="s">
        <v>42</v>
      </c>
      <c r="B26" s="7" t="s">
        <v>179</v>
      </c>
      <c r="C26" s="8">
        <v>1121670.5900000001</v>
      </c>
      <c r="D26" s="8">
        <v>247220.14</v>
      </c>
      <c r="E26" s="9">
        <v>0.22040351436868799</v>
      </c>
      <c r="F26" s="10" t="s">
        <v>4</v>
      </c>
      <c r="G26" s="11">
        <f>(D26 / F26)</f>
        <v>41.203356666666672</v>
      </c>
    </row>
    <row r="27" spans="1:7" x14ac:dyDescent="0.25">
      <c r="A27" s="12" t="s">
        <v>43</v>
      </c>
      <c r="B27" s="13" t="s">
        <v>181</v>
      </c>
      <c r="C27" s="14">
        <v>1037482.1256</v>
      </c>
      <c r="D27" s="14">
        <v>237007.77</v>
      </c>
      <c r="E27" s="15">
        <v>0.228445159826665</v>
      </c>
      <c r="F27" s="16" t="s">
        <v>6</v>
      </c>
      <c r="G27" s="17">
        <f>(D27 / F27)</f>
        <v>23.700776999999999</v>
      </c>
    </row>
    <row r="28" spans="1:7" x14ac:dyDescent="0.25">
      <c r="A28" s="6" t="s">
        <v>44</v>
      </c>
      <c r="B28" s="7" t="s">
        <v>225</v>
      </c>
      <c r="C28" s="8">
        <v>1025275.5</v>
      </c>
      <c r="D28" s="8">
        <v>797003.94</v>
      </c>
      <c r="E28" s="9">
        <v>0.77735588141918899</v>
      </c>
      <c r="F28" s="10" t="s">
        <v>12</v>
      </c>
      <c r="G28" s="11">
        <f>(D28 / F28)</f>
        <v>177.11198666666667</v>
      </c>
    </row>
    <row r="29" spans="1:7" x14ac:dyDescent="0.25">
      <c r="A29" s="6" t="s">
        <v>45</v>
      </c>
      <c r="B29" s="7" t="s">
        <v>206</v>
      </c>
      <c r="C29" s="8">
        <v>1012901.44</v>
      </c>
      <c r="D29" s="8">
        <v>416469.33</v>
      </c>
      <c r="E29" s="9">
        <v>0.41116471312351999</v>
      </c>
      <c r="F29" s="10" t="s">
        <v>17</v>
      </c>
      <c r="G29" s="10" t="s">
        <v>17</v>
      </c>
    </row>
    <row r="30" spans="1:7" x14ac:dyDescent="0.25">
      <c r="A30" s="6" t="s">
        <v>46</v>
      </c>
      <c r="B30" s="7" t="s">
        <v>300</v>
      </c>
      <c r="C30" s="8">
        <v>994961.71</v>
      </c>
      <c r="D30" s="8">
        <v>235093.93</v>
      </c>
      <c r="E30" s="9">
        <v>0.23628439932628201</v>
      </c>
      <c r="F30" s="10" t="s">
        <v>17</v>
      </c>
      <c r="G30" s="10" t="s">
        <v>17</v>
      </c>
    </row>
    <row r="31" spans="1:7" x14ac:dyDescent="0.25">
      <c r="A31" s="6" t="s">
        <v>47</v>
      </c>
      <c r="B31" s="7" t="s">
        <v>187</v>
      </c>
      <c r="C31" s="8">
        <v>962519.28</v>
      </c>
      <c r="D31" s="8">
        <v>191271.02</v>
      </c>
      <c r="E31" s="9">
        <v>0.19871915708535201</v>
      </c>
      <c r="F31" s="10" t="s">
        <v>17</v>
      </c>
      <c r="G31" s="10" t="s">
        <v>17</v>
      </c>
    </row>
    <row r="32" spans="1:7" x14ac:dyDescent="0.25">
      <c r="A32" s="6" t="s">
        <v>48</v>
      </c>
      <c r="B32" s="7" t="s">
        <v>188</v>
      </c>
      <c r="C32" s="8">
        <v>959257.37</v>
      </c>
      <c r="D32" s="8">
        <v>174220.26</v>
      </c>
      <c r="E32" s="9">
        <v>0.18161993376188501</v>
      </c>
      <c r="F32" s="10" t="s">
        <v>17</v>
      </c>
      <c r="G32" s="10" t="s">
        <v>17</v>
      </c>
    </row>
    <row r="33" spans="1:7" x14ac:dyDescent="0.25">
      <c r="A33" s="6" t="s">
        <v>49</v>
      </c>
      <c r="B33" s="7" t="s">
        <v>174</v>
      </c>
      <c r="C33" s="8">
        <v>927360.92</v>
      </c>
      <c r="D33" s="8">
        <v>796752.66</v>
      </c>
      <c r="E33" s="9">
        <v>0.85916135003834304</v>
      </c>
      <c r="F33" s="10" t="s">
        <v>17</v>
      </c>
      <c r="G33" s="10" t="s">
        <v>17</v>
      </c>
    </row>
    <row r="34" spans="1:7" x14ac:dyDescent="0.25">
      <c r="A34" s="6" t="s">
        <v>50</v>
      </c>
      <c r="B34" s="7" t="s">
        <v>199</v>
      </c>
      <c r="C34" s="8">
        <v>926036.47</v>
      </c>
      <c r="D34" s="8">
        <v>300511.78000000003</v>
      </c>
      <c r="E34" s="9">
        <v>0.32451397945482602</v>
      </c>
      <c r="F34" s="10" t="s">
        <v>12</v>
      </c>
      <c r="G34" s="11">
        <f>(D34 / F34)</f>
        <v>66.780395555555558</v>
      </c>
    </row>
    <row r="35" spans="1:7" x14ac:dyDescent="0.25">
      <c r="A35" s="6" t="s">
        <v>51</v>
      </c>
      <c r="B35" s="7" t="s">
        <v>185</v>
      </c>
      <c r="C35" s="8">
        <v>910307.32</v>
      </c>
      <c r="D35" s="8">
        <v>206035.25</v>
      </c>
      <c r="E35" s="9">
        <v>0.22633592576186301</v>
      </c>
      <c r="F35" s="10" t="s">
        <v>7</v>
      </c>
      <c r="G35" s="11">
        <f>(D35 / F35)</f>
        <v>58.867214285714283</v>
      </c>
    </row>
    <row r="36" spans="1:7" x14ac:dyDescent="0.25">
      <c r="A36" s="6" t="s">
        <v>52</v>
      </c>
      <c r="B36" s="7" t="s">
        <v>190</v>
      </c>
      <c r="C36" s="8">
        <v>890843.65</v>
      </c>
      <c r="D36" s="8">
        <v>247884.61</v>
      </c>
      <c r="E36" s="9">
        <v>0.27825826675646198</v>
      </c>
      <c r="F36" s="10" t="s">
        <v>17</v>
      </c>
      <c r="G36" s="10" t="s">
        <v>17</v>
      </c>
    </row>
    <row r="37" spans="1:7" x14ac:dyDescent="0.25">
      <c r="A37" s="6" t="s">
        <v>53</v>
      </c>
      <c r="B37" s="7" t="s">
        <v>194</v>
      </c>
      <c r="C37" s="8">
        <v>857473.6</v>
      </c>
      <c r="D37" s="8">
        <v>161862.53</v>
      </c>
      <c r="E37" s="9">
        <v>0.18876677952534099</v>
      </c>
      <c r="F37" s="10" t="s">
        <v>10</v>
      </c>
      <c r="G37" s="11">
        <f>(D37 / F37)</f>
        <v>323.72505999999998</v>
      </c>
    </row>
    <row r="38" spans="1:7" x14ac:dyDescent="0.25">
      <c r="A38" s="6" t="s">
        <v>54</v>
      </c>
      <c r="B38" s="7" t="s">
        <v>192</v>
      </c>
      <c r="C38" s="8">
        <v>844979.97</v>
      </c>
      <c r="D38" s="8">
        <v>179640.43</v>
      </c>
      <c r="E38" s="9">
        <v>0.212597264287815</v>
      </c>
      <c r="F38" s="10" t="s">
        <v>17</v>
      </c>
      <c r="G38" s="10" t="s">
        <v>17</v>
      </c>
    </row>
    <row r="39" spans="1:7" x14ac:dyDescent="0.25">
      <c r="A39" s="6" t="s">
        <v>55</v>
      </c>
      <c r="B39" s="7" t="s">
        <v>193</v>
      </c>
      <c r="C39" s="8">
        <v>822077.71</v>
      </c>
      <c r="D39" s="8">
        <v>153354.26999999999</v>
      </c>
      <c r="E39" s="9">
        <v>0.18654473675000899</v>
      </c>
      <c r="F39" s="10" t="s">
        <v>9</v>
      </c>
      <c r="G39" s="11">
        <f>(D39 / F39)</f>
        <v>60.1389294117647</v>
      </c>
    </row>
    <row r="40" spans="1:7" x14ac:dyDescent="0.25">
      <c r="A40" s="6" t="s">
        <v>56</v>
      </c>
      <c r="B40" s="7" t="s">
        <v>191</v>
      </c>
      <c r="C40" s="8">
        <v>809037.68</v>
      </c>
      <c r="D40" s="8">
        <v>171858.07</v>
      </c>
      <c r="E40" s="9">
        <v>0.212422825596949</v>
      </c>
      <c r="F40" s="10" t="s">
        <v>8</v>
      </c>
      <c r="G40" s="11">
        <f>(D40 / F40)</f>
        <v>63.651137037037039</v>
      </c>
    </row>
    <row r="41" spans="1:7" x14ac:dyDescent="0.25">
      <c r="A41" s="6" t="s">
        <v>57</v>
      </c>
      <c r="B41" s="7" t="s">
        <v>195</v>
      </c>
      <c r="C41" s="8">
        <v>806193.39</v>
      </c>
      <c r="D41" s="8">
        <v>193511.7</v>
      </c>
      <c r="E41" s="9">
        <v>0.24003136517901699</v>
      </c>
      <c r="F41" s="10" t="s">
        <v>17</v>
      </c>
      <c r="G41" s="10" t="s">
        <v>17</v>
      </c>
    </row>
    <row r="42" spans="1:7" x14ac:dyDescent="0.25">
      <c r="A42" s="6" t="s">
        <v>58</v>
      </c>
      <c r="B42" s="7" t="s">
        <v>301</v>
      </c>
      <c r="C42" s="8">
        <v>805551.59</v>
      </c>
      <c r="D42" s="8">
        <v>536682.57999999996</v>
      </c>
      <c r="E42" s="9">
        <v>0.66622993072361802</v>
      </c>
      <c r="F42" s="10" t="s">
        <v>17</v>
      </c>
      <c r="G42" s="10" t="s">
        <v>17</v>
      </c>
    </row>
    <row r="43" spans="1:7" x14ac:dyDescent="0.25">
      <c r="A43" s="6" t="s">
        <v>59</v>
      </c>
      <c r="B43" s="7" t="s">
        <v>219</v>
      </c>
      <c r="C43" s="8">
        <v>796890.29</v>
      </c>
      <c r="D43" s="8">
        <v>287960.81</v>
      </c>
      <c r="E43" s="9">
        <v>0.36135565160418798</v>
      </c>
      <c r="F43" s="10" t="s">
        <v>17</v>
      </c>
      <c r="G43" s="10" t="s">
        <v>17</v>
      </c>
    </row>
    <row r="44" spans="1:7" x14ac:dyDescent="0.25">
      <c r="A44" s="6" t="s">
        <v>60</v>
      </c>
      <c r="B44" s="7" t="s">
        <v>302</v>
      </c>
      <c r="C44" s="8">
        <v>757568.14</v>
      </c>
      <c r="D44" s="8">
        <v>406531.75</v>
      </c>
      <c r="E44" s="9">
        <v>0.53662730589488605</v>
      </c>
      <c r="F44" s="10" t="s">
        <v>17</v>
      </c>
      <c r="G44" s="10" t="s">
        <v>17</v>
      </c>
    </row>
    <row r="45" spans="1:7" x14ac:dyDescent="0.25">
      <c r="A45" s="6" t="s">
        <v>61</v>
      </c>
      <c r="B45" s="7" t="s">
        <v>252</v>
      </c>
      <c r="C45" s="8">
        <v>716390.44</v>
      </c>
      <c r="D45" s="8">
        <v>133878.43</v>
      </c>
      <c r="E45" s="9">
        <v>0.18687914093326</v>
      </c>
      <c r="F45" s="10" t="s">
        <v>17</v>
      </c>
      <c r="G45" s="10" t="s">
        <v>17</v>
      </c>
    </row>
    <row r="46" spans="1:7" x14ac:dyDescent="0.25">
      <c r="A46" s="6" t="s">
        <v>62</v>
      </c>
      <c r="B46" s="7" t="s">
        <v>196</v>
      </c>
      <c r="C46" s="8">
        <v>711922.35</v>
      </c>
      <c r="D46" s="8">
        <v>93920.16</v>
      </c>
      <c r="E46" s="9">
        <v>0.131924724655716</v>
      </c>
      <c r="F46" s="10" t="s">
        <v>17</v>
      </c>
      <c r="G46" s="10" t="s">
        <v>17</v>
      </c>
    </row>
    <row r="47" spans="1:7" x14ac:dyDescent="0.25">
      <c r="A47" s="6" t="s">
        <v>63</v>
      </c>
      <c r="B47" s="7" t="s">
        <v>198</v>
      </c>
      <c r="C47" s="8">
        <v>696931.02</v>
      </c>
      <c r="D47" s="8">
        <v>102232.32000000001</v>
      </c>
      <c r="E47" s="9">
        <v>0.14668929501803499</v>
      </c>
      <c r="F47" s="10" t="s">
        <v>17</v>
      </c>
      <c r="G47" s="10" t="s">
        <v>17</v>
      </c>
    </row>
    <row r="48" spans="1:7" x14ac:dyDescent="0.25">
      <c r="A48" s="6" t="s">
        <v>64</v>
      </c>
      <c r="B48" s="7" t="s">
        <v>201</v>
      </c>
      <c r="C48" s="8">
        <v>638220.80000000005</v>
      </c>
      <c r="D48" s="8">
        <v>112224.7</v>
      </c>
      <c r="E48" s="9">
        <v>0.17583992875193</v>
      </c>
      <c r="F48" s="10" t="s">
        <v>13</v>
      </c>
      <c r="G48" s="11">
        <f>(D48 / F48)</f>
        <v>37.408233333333335</v>
      </c>
    </row>
    <row r="49" spans="1:7" x14ac:dyDescent="0.25">
      <c r="A49" s="6" t="s">
        <v>65</v>
      </c>
      <c r="B49" s="7" t="s">
        <v>213</v>
      </c>
      <c r="C49" s="8">
        <v>637223.93999999994</v>
      </c>
      <c r="D49" s="8">
        <v>6653.02</v>
      </c>
      <c r="E49" s="9">
        <v>1.04406309656225E-2</v>
      </c>
      <c r="F49" s="10" t="s">
        <v>17</v>
      </c>
      <c r="G49" s="10" t="s">
        <v>17</v>
      </c>
    </row>
    <row r="50" spans="1:7" x14ac:dyDescent="0.25">
      <c r="A50" s="6" t="s">
        <v>66</v>
      </c>
      <c r="B50" s="7" t="s">
        <v>197</v>
      </c>
      <c r="C50" s="8">
        <v>626816.94999999995</v>
      </c>
      <c r="D50" s="8">
        <v>152937.54999999999</v>
      </c>
      <c r="E50" s="9">
        <v>0.243990769554014</v>
      </c>
      <c r="F50" s="10" t="s">
        <v>11</v>
      </c>
      <c r="G50" s="11">
        <f>(D50 / F50)</f>
        <v>40.638241053943382</v>
      </c>
    </row>
    <row r="51" spans="1:7" x14ac:dyDescent="0.25">
      <c r="A51" s="6" t="s">
        <v>67</v>
      </c>
      <c r="B51" s="7" t="s">
        <v>205</v>
      </c>
      <c r="C51" s="8">
        <v>595079.05000000005</v>
      </c>
      <c r="D51" s="8">
        <v>86234.61</v>
      </c>
      <c r="E51" s="9">
        <v>0.14491286493785999</v>
      </c>
      <c r="F51" s="10" t="s">
        <v>17</v>
      </c>
      <c r="G51" s="10" t="s">
        <v>17</v>
      </c>
    </row>
    <row r="52" spans="1:7" x14ac:dyDescent="0.25">
      <c r="A52" s="6" t="s">
        <v>68</v>
      </c>
      <c r="B52" s="7" t="s">
        <v>202</v>
      </c>
      <c r="C52" s="8">
        <v>565733.80000000005</v>
      </c>
      <c r="D52" s="8">
        <v>115101.6</v>
      </c>
      <c r="E52" s="9">
        <v>0.20345540605846801</v>
      </c>
      <c r="F52" s="10" t="s">
        <v>17</v>
      </c>
      <c r="G52" s="10" t="s">
        <v>17</v>
      </c>
    </row>
    <row r="53" spans="1:7" x14ac:dyDescent="0.25">
      <c r="A53" s="6" t="s">
        <v>69</v>
      </c>
      <c r="B53" s="7" t="s">
        <v>203</v>
      </c>
      <c r="C53" s="8">
        <v>553666.51</v>
      </c>
      <c r="D53" s="8">
        <v>61510.98</v>
      </c>
      <c r="E53" s="9">
        <v>0.111097526921034</v>
      </c>
      <c r="F53" s="10" t="s">
        <v>17</v>
      </c>
      <c r="G53" s="10" t="s">
        <v>17</v>
      </c>
    </row>
    <row r="54" spans="1:7" x14ac:dyDescent="0.25">
      <c r="A54" s="6" t="s">
        <v>70</v>
      </c>
      <c r="B54" s="7" t="s">
        <v>204</v>
      </c>
      <c r="C54" s="8">
        <v>524271.8</v>
      </c>
      <c r="D54" s="8">
        <v>103820.23</v>
      </c>
      <c r="E54" s="9">
        <v>0.198027492609749</v>
      </c>
      <c r="F54" s="10" t="s">
        <v>17</v>
      </c>
      <c r="G54" s="10" t="s">
        <v>17</v>
      </c>
    </row>
    <row r="55" spans="1:7" x14ac:dyDescent="0.25">
      <c r="A55" s="6" t="s">
        <v>71</v>
      </c>
      <c r="B55" s="7" t="s">
        <v>237</v>
      </c>
      <c r="C55" s="8">
        <v>493552.74</v>
      </c>
      <c r="D55" s="8">
        <v>210840.23</v>
      </c>
      <c r="E55" s="9">
        <v>0.427188855237639</v>
      </c>
      <c r="F55" s="10" t="s">
        <v>17</v>
      </c>
      <c r="G55" s="10" t="s">
        <v>17</v>
      </c>
    </row>
    <row r="56" spans="1:7" x14ac:dyDescent="0.25">
      <c r="A56" s="6" t="s">
        <v>72</v>
      </c>
      <c r="B56" s="7" t="s">
        <v>200</v>
      </c>
      <c r="C56" s="8">
        <v>474035.51</v>
      </c>
      <c r="D56" s="8">
        <v>95108.71</v>
      </c>
      <c r="E56" s="9">
        <v>0.20063625613195099</v>
      </c>
      <c r="F56" s="10" t="s">
        <v>17</v>
      </c>
      <c r="G56" s="10" t="s">
        <v>17</v>
      </c>
    </row>
    <row r="57" spans="1:7" x14ac:dyDescent="0.25">
      <c r="A57" s="6" t="s">
        <v>73</v>
      </c>
      <c r="B57" s="7" t="s">
        <v>215</v>
      </c>
      <c r="C57" s="8">
        <v>466742.8</v>
      </c>
      <c r="D57" s="8">
        <v>72667.12</v>
      </c>
      <c r="E57" s="9">
        <v>0.155689857454684</v>
      </c>
      <c r="F57" s="10" t="s">
        <v>17</v>
      </c>
      <c r="G57" s="10" t="s">
        <v>17</v>
      </c>
    </row>
    <row r="58" spans="1:7" x14ac:dyDescent="0.25">
      <c r="A58" s="6" t="s">
        <v>74</v>
      </c>
      <c r="B58" s="7" t="s">
        <v>208</v>
      </c>
      <c r="C58" s="8">
        <v>462184.90470000001</v>
      </c>
      <c r="D58" s="8">
        <v>94214.97</v>
      </c>
      <c r="E58" s="9">
        <v>0.20384692152841699</v>
      </c>
      <c r="F58" s="10" t="s">
        <v>14</v>
      </c>
      <c r="G58" s="11">
        <f>(D58 / F58)</f>
        <v>37.685988000000002</v>
      </c>
    </row>
    <row r="59" spans="1:7" x14ac:dyDescent="0.25">
      <c r="A59" s="6" t="s">
        <v>75</v>
      </c>
      <c r="B59" s="7" t="s">
        <v>207</v>
      </c>
      <c r="C59" s="8">
        <v>461122.27</v>
      </c>
      <c r="D59" s="8">
        <v>137216.39000000001</v>
      </c>
      <c r="E59" s="9">
        <v>0.29757051204662099</v>
      </c>
      <c r="F59" s="10" t="s">
        <v>17</v>
      </c>
      <c r="G59" s="10" t="s">
        <v>17</v>
      </c>
    </row>
    <row r="60" spans="1:7" x14ac:dyDescent="0.25">
      <c r="A60" s="6" t="s">
        <v>76</v>
      </c>
      <c r="B60" s="7" t="s">
        <v>221</v>
      </c>
      <c r="C60" s="8">
        <v>456389.31</v>
      </c>
      <c r="D60" s="8">
        <v>154468.48000000001</v>
      </c>
      <c r="E60" s="9">
        <v>0.338457708398122</v>
      </c>
      <c r="F60" s="10" t="s">
        <v>17</v>
      </c>
      <c r="G60" s="10" t="s">
        <v>17</v>
      </c>
    </row>
    <row r="61" spans="1:7" x14ac:dyDescent="0.25">
      <c r="A61" s="6" t="s">
        <v>77</v>
      </c>
      <c r="B61" s="7" t="s">
        <v>250</v>
      </c>
      <c r="C61" s="8">
        <v>440356.85</v>
      </c>
      <c r="D61" s="8">
        <v>214529.07</v>
      </c>
      <c r="E61" s="9">
        <v>0.48717096146000699</v>
      </c>
      <c r="F61" s="10" t="s">
        <v>17</v>
      </c>
      <c r="G61" s="10" t="s">
        <v>17</v>
      </c>
    </row>
    <row r="62" spans="1:7" x14ac:dyDescent="0.25">
      <c r="A62" s="6" t="s">
        <v>78</v>
      </c>
      <c r="B62" s="7" t="s">
        <v>223</v>
      </c>
      <c r="C62" s="8">
        <v>432962.73</v>
      </c>
      <c r="D62" s="8">
        <v>56714.67</v>
      </c>
      <c r="E62" s="9">
        <v>0.130992037120609</v>
      </c>
      <c r="F62" s="10" t="s">
        <v>17</v>
      </c>
      <c r="G62" s="10" t="s">
        <v>17</v>
      </c>
    </row>
    <row r="63" spans="1:7" x14ac:dyDescent="0.25">
      <c r="A63" s="6" t="s">
        <v>79</v>
      </c>
      <c r="B63" s="7" t="s">
        <v>214</v>
      </c>
      <c r="C63" s="8">
        <v>414101.41</v>
      </c>
      <c r="D63" s="8">
        <v>18946.169999999998</v>
      </c>
      <c r="E63" s="9">
        <v>4.57524885027559E-2</v>
      </c>
      <c r="F63" s="10" t="s">
        <v>17</v>
      </c>
      <c r="G63" s="10" t="s">
        <v>17</v>
      </c>
    </row>
    <row r="64" spans="1:7" x14ac:dyDescent="0.25">
      <c r="A64" s="6" t="s">
        <v>80</v>
      </c>
      <c r="B64" s="7" t="s">
        <v>211</v>
      </c>
      <c r="C64" s="8">
        <v>409261.61</v>
      </c>
      <c r="D64" s="8">
        <v>61714.31</v>
      </c>
      <c r="E64" s="9">
        <v>0.150794280460364</v>
      </c>
      <c r="F64" s="10" t="s">
        <v>17</v>
      </c>
      <c r="G64" s="10" t="s">
        <v>17</v>
      </c>
    </row>
    <row r="65" spans="1:7" x14ac:dyDescent="0.25">
      <c r="A65" s="6" t="s">
        <v>81</v>
      </c>
      <c r="B65" s="7" t="s">
        <v>304</v>
      </c>
      <c r="C65" s="8">
        <v>402847.61</v>
      </c>
      <c r="D65" s="8">
        <v>75488.899999999994</v>
      </c>
      <c r="E65" s="9">
        <v>0.18738822851648501</v>
      </c>
      <c r="F65" s="10" t="s">
        <v>17</v>
      </c>
      <c r="G65" s="10" t="s">
        <v>17</v>
      </c>
    </row>
    <row r="66" spans="1:7" x14ac:dyDescent="0.25">
      <c r="A66" s="6" t="s">
        <v>82</v>
      </c>
      <c r="B66" s="7" t="s">
        <v>209</v>
      </c>
      <c r="C66" s="8">
        <v>402440.62</v>
      </c>
      <c r="D66" s="8">
        <v>67372.509999999995</v>
      </c>
      <c r="E66" s="9">
        <v>0.16740981563938601</v>
      </c>
      <c r="F66" s="10" t="s">
        <v>17</v>
      </c>
      <c r="G66" s="10" t="s">
        <v>17</v>
      </c>
    </row>
    <row r="67" spans="1:7" x14ac:dyDescent="0.25">
      <c r="A67" s="6" t="s">
        <v>83</v>
      </c>
      <c r="B67" s="7" t="s">
        <v>212</v>
      </c>
      <c r="C67" s="8">
        <v>399082.86</v>
      </c>
      <c r="D67" s="8">
        <v>74700.42</v>
      </c>
      <c r="E67" s="9">
        <v>0.18718022618159999</v>
      </c>
      <c r="F67" s="10" t="s">
        <v>17</v>
      </c>
      <c r="G67" s="10" t="s">
        <v>17</v>
      </c>
    </row>
    <row r="68" spans="1:7" x14ac:dyDescent="0.25">
      <c r="A68" s="6" t="s">
        <v>84</v>
      </c>
      <c r="B68" s="7" t="s">
        <v>210</v>
      </c>
      <c r="C68" s="8">
        <v>378428.93099999998</v>
      </c>
      <c r="D68" s="8">
        <v>71064.58</v>
      </c>
      <c r="E68" s="9">
        <v>0.18778844369063299</v>
      </c>
      <c r="F68" s="10" t="s">
        <v>17</v>
      </c>
      <c r="G68" s="10" t="s">
        <v>17</v>
      </c>
    </row>
    <row r="69" spans="1:7" x14ac:dyDescent="0.25">
      <c r="A69" s="6" t="s">
        <v>85</v>
      </c>
      <c r="B69" s="7" t="s">
        <v>218</v>
      </c>
      <c r="C69" s="8">
        <v>375141.77</v>
      </c>
      <c r="D69" s="8">
        <v>53893.41</v>
      </c>
      <c r="E69" s="9">
        <v>0.14366144831059499</v>
      </c>
      <c r="F69" s="10" t="s">
        <v>17</v>
      </c>
      <c r="G69" s="10" t="s">
        <v>17</v>
      </c>
    </row>
    <row r="70" spans="1:7" x14ac:dyDescent="0.25">
      <c r="A70" s="6" t="s">
        <v>86</v>
      </c>
      <c r="B70" s="7" t="s">
        <v>220</v>
      </c>
      <c r="C70" s="8">
        <v>361360.05</v>
      </c>
      <c r="D70" s="8">
        <v>63986.86</v>
      </c>
      <c r="E70" s="9">
        <v>0.17707231333402801</v>
      </c>
      <c r="F70" s="10" t="s">
        <v>17</v>
      </c>
      <c r="G70" s="10" t="s">
        <v>17</v>
      </c>
    </row>
    <row r="71" spans="1:7" x14ac:dyDescent="0.25">
      <c r="A71" s="6" t="s">
        <v>87</v>
      </c>
      <c r="B71" s="7" t="s">
        <v>222</v>
      </c>
      <c r="C71" s="8">
        <v>357852.85</v>
      </c>
      <c r="D71" s="8">
        <v>41172.269999999997</v>
      </c>
      <c r="E71" s="9">
        <v>0.11505363168129</v>
      </c>
      <c r="F71" s="10" t="s">
        <v>17</v>
      </c>
      <c r="G71" s="10" t="s">
        <v>17</v>
      </c>
    </row>
    <row r="72" spans="1:7" x14ac:dyDescent="0.25">
      <c r="A72" s="6" t="s">
        <v>88</v>
      </c>
      <c r="B72" s="7" t="s">
        <v>217</v>
      </c>
      <c r="C72" s="8">
        <v>343242.86</v>
      </c>
      <c r="D72" s="8">
        <v>50537.73</v>
      </c>
      <c r="E72" s="9">
        <v>0.147236070693503</v>
      </c>
      <c r="F72" s="10" t="s">
        <v>15</v>
      </c>
      <c r="G72" s="11">
        <f>(D72 / F72)</f>
        <v>50.537730000000003</v>
      </c>
    </row>
    <row r="73" spans="1:7" x14ac:dyDescent="0.25">
      <c r="A73" s="6" t="s">
        <v>89</v>
      </c>
      <c r="B73" s="7" t="s">
        <v>226</v>
      </c>
      <c r="C73" s="8">
        <v>321810.84999999998</v>
      </c>
      <c r="D73" s="8">
        <v>20179.560000000001</v>
      </c>
      <c r="E73" s="9">
        <v>6.2706276062475794E-2</v>
      </c>
      <c r="F73" s="10" t="s">
        <v>17</v>
      </c>
      <c r="G73" s="10" t="s">
        <v>17</v>
      </c>
    </row>
    <row r="74" spans="1:7" x14ac:dyDescent="0.25">
      <c r="A74" s="6" t="s">
        <v>90</v>
      </c>
      <c r="B74" s="7" t="s">
        <v>216</v>
      </c>
      <c r="C74" s="8">
        <v>318747.61</v>
      </c>
      <c r="D74" s="8">
        <v>167788.54</v>
      </c>
      <c r="E74" s="9">
        <v>0.526399366570937</v>
      </c>
      <c r="F74" s="10" t="s">
        <v>17</v>
      </c>
      <c r="G74" s="10" t="s">
        <v>17</v>
      </c>
    </row>
    <row r="75" spans="1:7" x14ac:dyDescent="0.25">
      <c r="A75" s="6" t="s">
        <v>91</v>
      </c>
      <c r="B75" s="7" t="s">
        <v>227</v>
      </c>
      <c r="C75" s="8">
        <v>315727.90999999997</v>
      </c>
      <c r="D75" s="8">
        <v>27298.98</v>
      </c>
      <c r="E75" s="9">
        <v>8.64636262280392E-2</v>
      </c>
      <c r="F75" s="10" t="s">
        <v>17</v>
      </c>
      <c r="G75" s="10" t="s">
        <v>17</v>
      </c>
    </row>
    <row r="76" spans="1:7" x14ac:dyDescent="0.25">
      <c r="A76" s="6" t="s">
        <v>92</v>
      </c>
      <c r="B76" s="7" t="s">
        <v>303</v>
      </c>
      <c r="C76" s="8">
        <v>307686.93</v>
      </c>
      <c r="D76" s="8">
        <v>17587.990000000002</v>
      </c>
      <c r="E76" s="9">
        <v>5.7161966548270299E-2</v>
      </c>
      <c r="F76" s="10" t="s">
        <v>17</v>
      </c>
      <c r="G76" s="10" t="s">
        <v>17</v>
      </c>
    </row>
    <row r="77" spans="1:7" x14ac:dyDescent="0.25">
      <c r="A77" s="6" t="s">
        <v>93</v>
      </c>
      <c r="B77" s="7" t="s">
        <v>224</v>
      </c>
      <c r="C77" s="8">
        <v>304700.34000000003</v>
      </c>
      <c r="D77" s="8">
        <v>59259.15</v>
      </c>
      <c r="E77" s="9">
        <v>0.194483373402209</v>
      </c>
      <c r="F77" s="10" t="s">
        <v>17</v>
      </c>
      <c r="G77" s="10" t="s">
        <v>17</v>
      </c>
    </row>
    <row r="78" spans="1:7" x14ac:dyDescent="0.25">
      <c r="A78" s="6" t="s">
        <v>94</v>
      </c>
      <c r="B78" s="7" t="s">
        <v>228</v>
      </c>
      <c r="C78" s="8">
        <v>294231.46000000002</v>
      </c>
      <c r="D78" s="8">
        <v>14429.89</v>
      </c>
      <c r="E78" s="9">
        <v>4.9042648260658503E-2</v>
      </c>
      <c r="F78" s="10" t="s">
        <v>17</v>
      </c>
      <c r="G78" s="10" t="s">
        <v>17</v>
      </c>
    </row>
    <row r="79" spans="1:7" x14ac:dyDescent="0.25">
      <c r="A79" s="6" t="s">
        <v>95</v>
      </c>
      <c r="B79" s="7" t="s">
        <v>229</v>
      </c>
      <c r="C79" s="8">
        <v>286464.42</v>
      </c>
      <c r="D79" s="8">
        <v>28260.34</v>
      </c>
      <c r="E79" s="9">
        <v>9.8652181656625995E-2</v>
      </c>
      <c r="F79" s="10" t="s">
        <v>17</v>
      </c>
      <c r="G79" s="10" t="s">
        <v>17</v>
      </c>
    </row>
    <row r="80" spans="1:7" x14ac:dyDescent="0.25">
      <c r="A80" s="6" t="s">
        <v>96</v>
      </c>
      <c r="B80" s="7" t="s">
        <v>232</v>
      </c>
      <c r="C80" s="8">
        <v>279504.39</v>
      </c>
      <c r="D80" s="8">
        <v>12724.8</v>
      </c>
      <c r="E80" s="9">
        <v>4.5526297458154397E-2</v>
      </c>
      <c r="F80" s="10" t="s">
        <v>17</v>
      </c>
      <c r="G80" s="10" t="s">
        <v>17</v>
      </c>
    </row>
    <row r="81" spans="1:7" x14ac:dyDescent="0.25">
      <c r="A81" s="6" t="s">
        <v>97</v>
      </c>
      <c r="B81" s="7" t="s">
        <v>231</v>
      </c>
      <c r="C81" s="8">
        <v>277510.94</v>
      </c>
      <c r="D81" s="8">
        <v>22476.48</v>
      </c>
      <c r="E81" s="9">
        <v>8.0993131297814797E-2</v>
      </c>
      <c r="F81" s="10" t="s">
        <v>17</v>
      </c>
      <c r="G81" s="10" t="s">
        <v>17</v>
      </c>
    </row>
    <row r="82" spans="1:7" x14ac:dyDescent="0.25">
      <c r="A82" s="6" t="s">
        <v>98</v>
      </c>
      <c r="B82" s="7" t="s">
        <v>254</v>
      </c>
      <c r="C82" s="8">
        <v>274024.49</v>
      </c>
      <c r="D82" s="8">
        <v>42601.81</v>
      </c>
      <c r="E82" s="9">
        <v>0.15546716280723699</v>
      </c>
      <c r="F82" s="10" t="s">
        <v>17</v>
      </c>
      <c r="G82" s="10" t="s">
        <v>17</v>
      </c>
    </row>
    <row r="83" spans="1:7" x14ac:dyDescent="0.25">
      <c r="A83" s="6" t="s">
        <v>99</v>
      </c>
      <c r="B83" s="7" t="s">
        <v>234</v>
      </c>
      <c r="C83" s="8">
        <v>264969.90999999997</v>
      </c>
      <c r="D83" s="8">
        <v>25281.06</v>
      </c>
      <c r="E83" s="9">
        <v>9.5411060070934098E-2</v>
      </c>
      <c r="F83" s="10" t="s">
        <v>17</v>
      </c>
      <c r="G83" s="10" t="s">
        <v>17</v>
      </c>
    </row>
    <row r="84" spans="1:7" x14ac:dyDescent="0.25">
      <c r="A84" s="6" t="s">
        <v>100</v>
      </c>
      <c r="B84" s="7" t="s">
        <v>233</v>
      </c>
      <c r="C84" s="8">
        <v>256427.34</v>
      </c>
      <c r="D84" s="8">
        <v>46994.65</v>
      </c>
      <c r="E84" s="9">
        <v>0.183266924657878</v>
      </c>
      <c r="F84" s="10" t="s">
        <v>17</v>
      </c>
      <c r="G84" s="10" t="s">
        <v>17</v>
      </c>
    </row>
    <row r="85" spans="1:7" x14ac:dyDescent="0.25">
      <c r="A85" s="6" t="s">
        <v>101</v>
      </c>
      <c r="B85" s="7" t="s">
        <v>235</v>
      </c>
      <c r="C85" s="8">
        <v>239228.29</v>
      </c>
      <c r="D85" s="8">
        <v>25226.48</v>
      </c>
      <c r="E85" s="9">
        <v>0.1054494014901</v>
      </c>
      <c r="F85" s="10" t="s">
        <v>17</v>
      </c>
      <c r="G85" s="10" t="s">
        <v>17</v>
      </c>
    </row>
    <row r="86" spans="1:7" x14ac:dyDescent="0.25">
      <c r="A86" s="6" t="s">
        <v>102</v>
      </c>
      <c r="B86" s="7" t="s">
        <v>236</v>
      </c>
      <c r="C86" s="8">
        <v>225737.58</v>
      </c>
      <c r="D86" s="8">
        <v>73729.070000000007</v>
      </c>
      <c r="E86" s="9">
        <v>0.32661407108200602</v>
      </c>
      <c r="F86" s="10" t="s">
        <v>17</v>
      </c>
      <c r="G86" s="10" t="s">
        <v>17</v>
      </c>
    </row>
    <row r="87" spans="1:7" x14ac:dyDescent="0.25">
      <c r="A87" s="6" t="s">
        <v>103</v>
      </c>
      <c r="B87" s="7" t="s">
        <v>305</v>
      </c>
      <c r="C87" s="8">
        <v>212827.88</v>
      </c>
      <c r="D87" s="8">
        <v>158670.71</v>
      </c>
      <c r="E87" s="9">
        <v>0.74553535937115001</v>
      </c>
      <c r="F87" s="10" t="s">
        <v>17</v>
      </c>
      <c r="G87" s="10" t="s">
        <v>17</v>
      </c>
    </row>
    <row r="88" spans="1:7" x14ac:dyDescent="0.25">
      <c r="A88" s="12" t="s">
        <v>104</v>
      </c>
      <c r="B88" s="13" t="s">
        <v>230</v>
      </c>
      <c r="C88" s="14">
        <v>203119.1</v>
      </c>
      <c r="D88" s="14">
        <v>43809.54</v>
      </c>
      <c r="E88" s="15">
        <v>0.21568400017526701</v>
      </c>
      <c r="F88" s="16" t="s">
        <v>292</v>
      </c>
      <c r="G88" s="17">
        <f>(D88 / F88)</f>
        <v>11.840416216216216</v>
      </c>
    </row>
    <row r="89" spans="1:7" x14ac:dyDescent="0.25">
      <c r="A89" s="6" t="s">
        <v>105</v>
      </c>
      <c r="B89" s="7" t="s">
        <v>238</v>
      </c>
      <c r="C89" s="8">
        <v>199594.01</v>
      </c>
      <c r="D89" s="8">
        <v>12051.98</v>
      </c>
      <c r="E89" s="9">
        <v>6.03824734018822E-2</v>
      </c>
      <c r="F89" s="10" t="s">
        <v>17</v>
      </c>
      <c r="G89" s="10" t="s">
        <v>17</v>
      </c>
    </row>
    <row r="90" spans="1:7" x14ac:dyDescent="0.25">
      <c r="A90" s="6" t="s">
        <v>106</v>
      </c>
      <c r="B90" s="7" t="s">
        <v>239</v>
      </c>
      <c r="C90" s="8">
        <v>191598.44</v>
      </c>
      <c r="D90" s="8">
        <v>159387.12</v>
      </c>
      <c r="E90" s="9">
        <v>0.83188109464774296</v>
      </c>
      <c r="F90" s="10" t="s">
        <v>17</v>
      </c>
      <c r="G90" s="10" t="s">
        <v>17</v>
      </c>
    </row>
    <row r="91" spans="1:7" x14ac:dyDescent="0.25">
      <c r="A91" s="6" t="s">
        <v>107</v>
      </c>
      <c r="B91" s="7" t="s">
        <v>275</v>
      </c>
      <c r="C91" s="8">
        <v>178053.23</v>
      </c>
      <c r="D91" s="8">
        <v>20001.52</v>
      </c>
      <c r="E91" s="9">
        <v>0.112334496824349</v>
      </c>
      <c r="F91" s="10" t="s">
        <v>17</v>
      </c>
      <c r="G91" s="10" t="s">
        <v>17</v>
      </c>
    </row>
    <row r="92" spans="1:7" x14ac:dyDescent="0.25">
      <c r="A92" s="6" t="s">
        <v>108</v>
      </c>
      <c r="B92" s="7" t="s">
        <v>240</v>
      </c>
      <c r="C92" s="8">
        <v>162138.71</v>
      </c>
      <c r="D92" s="8">
        <v>12007.99</v>
      </c>
      <c r="E92" s="9">
        <v>7.40599823447467E-2</v>
      </c>
      <c r="F92" s="10" t="s">
        <v>17</v>
      </c>
      <c r="G92" s="10" t="s">
        <v>17</v>
      </c>
    </row>
    <row r="93" spans="1:7" x14ac:dyDescent="0.25">
      <c r="A93" s="6" t="s">
        <v>109</v>
      </c>
      <c r="B93" s="7" t="s">
        <v>276</v>
      </c>
      <c r="C93" s="8">
        <v>153827.41</v>
      </c>
      <c r="D93" s="8">
        <v>19434.939999999999</v>
      </c>
      <c r="E93" s="9">
        <v>0.126342502938846</v>
      </c>
      <c r="F93" s="10" t="s">
        <v>17</v>
      </c>
      <c r="G93" s="10" t="s">
        <v>17</v>
      </c>
    </row>
    <row r="94" spans="1:7" x14ac:dyDescent="0.25">
      <c r="A94" s="6" t="s">
        <v>110</v>
      </c>
      <c r="B94" s="7" t="s">
        <v>307</v>
      </c>
      <c r="C94" s="8">
        <v>151345.93</v>
      </c>
      <c r="D94" s="8">
        <v>89197.31</v>
      </c>
      <c r="E94" s="9">
        <v>0.58936048032477695</v>
      </c>
      <c r="F94" s="10" t="s">
        <v>17</v>
      </c>
      <c r="G94" s="10" t="s">
        <v>17</v>
      </c>
    </row>
    <row r="95" spans="1:7" x14ac:dyDescent="0.25">
      <c r="A95" s="6" t="s">
        <v>111</v>
      </c>
      <c r="B95" s="7" t="s">
        <v>243</v>
      </c>
      <c r="C95" s="8">
        <v>148792.04999999999</v>
      </c>
      <c r="D95" s="8">
        <v>10932.32</v>
      </c>
      <c r="E95" s="9">
        <v>7.3473817989603604E-2</v>
      </c>
      <c r="F95" s="10" t="s">
        <v>17</v>
      </c>
      <c r="G95" s="10" t="s">
        <v>17</v>
      </c>
    </row>
    <row r="96" spans="1:7" x14ac:dyDescent="0.25">
      <c r="A96" s="6" t="s">
        <v>112</v>
      </c>
      <c r="B96" s="7" t="s">
        <v>241</v>
      </c>
      <c r="C96" s="8">
        <v>144542.64000000001</v>
      </c>
      <c r="D96" s="8">
        <v>18468.89</v>
      </c>
      <c r="E96" s="9">
        <v>0.127774682958607</v>
      </c>
      <c r="F96" s="10" t="s">
        <v>16</v>
      </c>
      <c r="G96" s="11">
        <f>(D96 / F96)</f>
        <v>51.589078212290502</v>
      </c>
    </row>
    <row r="97" spans="1:7" x14ac:dyDescent="0.25">
      <c r="A97" s="6" t="s">
        <v>113</v>
      </c>
      <c r="B97" s="7" t="s">
        <v>244</v>
      </c>
      <c r="C97" s="8">
        <v>142822.46</v>
      </c>
      <c r="D97" s="8">
        <v>5839.68</v>
      </c>
      <c r="E97" s="9">
        <v>4.0887686712580099E-2</v>
      </c>
      <c r="F97" s="10" t="s">
        <v>17</v>
      </c>
      <c r="G97" s="10" t="s">
        <v>17</v>
      </c>
    </row>
    <row r="98" spans="1:7" x14ac:dyDescent="0.25">
      <c r="A98" s="6" t="s">
        <v>114</v>
      </c>
      <c r="B98" s="7" t="s">
        <v>320</v>
      </c>
      <c r="C98" s="8">
        <v>139018.95000000001</v>
      </c>
      <c r="D98" s="8">
        <v>139018.95000000001</v>
      </c>
      <c r="E98" s="9">
        <v>1</v>
      </c>
      <c r="F98" s="10" t="s">
        <v>17</v>
      </c>
      <c r="G98" s="10" t="s">
        <v>17</v>
      </c>
    </row>
    <row r="99" spans="1:7" x14ac:dyDescent="0.25">
      <c r="A99" s="6" t="s">
        <v>115</v>
      </c>
      <c r="B99" s="7" t="s">
        <v>246</v>
      </c>
      <c r="C99" s="8">
        <v>134931.35</v>
      </c>
      <c r="D99" s="8">
        <v>9391.35</v>
      </c>
      <c r="E99" s="9">
        <v>6.9600948926991396E-2</v>
      </c>
      <c r="F99" s="10" t="s">
        <v>17</v>
      </c>
      <c r="G99" s="10" t="s">
        <v>17</v>
      </c>
    </row>
    <row r="100" spans="1:7" x14ac:dyDescent="0.25">
      <c r="A100" s="6" t="s">
        <v>116</v>
      </c>
      <c r="B100" s="7" t="s">
        <v>242</v>
      </c>
      <c r="C100" s="8">
        <v>132851.06</v>
      </c>
      <c r="D100" s="8">
        <v>48019.72</v>
      </c>
      <c r="E100" s="9">
        <v>0.36145530189973601</v>
      </c>
      <c r="F100" s="10" t="s">
        <v>17</v>
      </c>
      <c r="G100" s="10" t="s">
        <v>17</v>
      </c>
    </row>
    <row r="101" spans="1:7" x14ac:dyDescent="0.25">
      <c r="A101" s="6" t="s">
        <v>117</v>
      </c>
      <c r="B101" s="7" t="s">
        <v>245</v>
      </c>
      <c r="C101" s="8">
        <v>127545.18</v>
      </c>
      <c r="D101" s="8">
        <v>8259.66</v>
      </c>
      <c r="E101" s="9">
        <v>6.4758699623145302E-2</v>
      </c>
      <c r="F101" s="10" t="s">
        <v>17</v>
      </c>
      <c r="G101" s="10" t="s">
        <v>17</v>
      </c>
    </row>
    <row r="102" spans="1:7" x14ac:dyDescent="0.25">
      <c r="A102" s="6" t="s">
        <v>118</v>
      </c>
      <c r="B102" s="7" t="s">
        <v>247</v>
      </c>
      <c r="C102" s="8">
        <v>126224.69</v>
      </c>
      <c r="D102" s="8">
        <v>20310.62</v>
      </c>
      <c r="E102" s="9">
        <v>0.160908456182384</v>
      </c>
      <c r="F102" s="10" t="s">
        <v>17</v>
      </c>
      <c r="G102" s="10" t="s">
        <v>17</v>
      </c>
    </row>
    <row r="103" spans="1:7" x14ac:dyDescent="0.25">
      <c r="A103" s="6" t="s">
        <v>119</v>
      </c>
      <c r="B103" s="7" t="s">
        <v>306</v>
      </c>
      <c r="C103" s="8">
        <v>125240.93</v>
      </c>
      <c r="D103" s="8">
        <v>11957.7</v>
      </c>
      <c r="E103" s="9">
        <v>9.5477572707261094E-2</v>
      </c>
      <c r="F103" s="10" t="s">
        <v>17</v>
      </c>
      <c r="G103" s="10" t="s">
        <v>17</v>
      </c>
    </row>
    <row r="104" spans="1:7" x14ac:dyDescent="0.25">
      <c r="A104" s="6" t="s">
        <v>120</v>
      </c>
      <c r="B104" s="7" t="s">
        <v>248</v>
      </c>
      <c r="C104" s="8">
        <v>112743</v>
      </c>
      <c r="D104" s="8">
        <v>4076.98</v>
      </c>
      <c r="E104" s="9">
        <v>3.6161712922309998E-2</v>
      </c>
      <c r="F104" s="10" t="s">
        <v>17</v>
      </c>
      <c r="G104" s="10" t="s">
        <v>17</v>
      </c>
    </row>
    <row r="105" spans="1:7" x14ac:dyDescent="0.25">
      <c r="A105" s="6" t="s">
        <v>121</v>
      </c>
      <c r="B105" s="7" t="s">
        <v>295</v>
      </c>
      <c r="C105" s="8">
        <v>110230.2</v>
      </c>
      <c r="D105" s="8">
        <v>12125.86</v>
      </c>
      <c r="E105" s="9">
        <v>0.110004880695127</v>
      </c>
      <c r="F105" s="10" t="s">
        <v>17</v>
      </c>
      <c r="G105" s="10" t="s">
        <v>17</v>
      </c>
    </row>
    <row r="106" spans="1:7" x14ac:dyDescent="0.25">
      <c r="A106" s="6" t="s">
        <v>122</v>
      </c>
      <c r="B106" s="7" t="s">
        <v>249</v>
      </c>
      <c r="C106" s="8">
        <v>101646.58</v>
      </c>
      <c r="D106" s="8">
        <v>13285.65</v>
      </c>
      <c r="E106" s="9">
        <v>0.13070434834108499</v>
      </c>
      <c r="F106" s="10" t="s">
        <v>17</v>
      </c>
      <c r="G106" s="10" t="s">
        <v>17</v>
      </c>
    </row>
    <row r="107" spans="1:7" x14ac:dyDescent="0.25">
      <c r="A107" s="6" t="s">
        <v>123</v>
      </c>
      <c r="B107" s="7" t="s">
        <v>331</v>
      </c>
      <c r="C107" s="8">
        <v>100000</v>
      </c>
      <c r="D107" s="8">
        <v>100000</v>
      </c>
      <c r="E107" s="9">
        <v>1</v>
      </c>
      <c r="F107" s="10" t="s">
        <v>17</v>
      </c>
      <c r="G107" s="10" t="s">
        <v>17</v>
      </c>
    </row>
    <row r="108" spans="1:7" x14ac:dyDescent="0.25">
      <c r="A108" s="6" t="s">
        <v>124</v>
      </c>
      <c r="B108" s="7" t="s">
        <v>309</v>
      </c>
      <c r="C108" s="8">
        <v>96567.45</v>
      </c>
      <c r="D108" s="8">
        <v>12371.05</v>
      </c>
      <c r="E108" s="9">
        <v>0.12810786657408901</v>
      </c>
      <c r="F108" s="10" t="s">
        <v>17</v>
      </c>
      <c r="G108" s="10" t="s">
        <v>17</v>
      </c>
    </row>
    <row r="109" spans="1:7" x14ac:dyDescent="0.25">
      <c r="A109" s="6" t="s">
        <v>125</v>
      </c>
      <c r="B109" s="7" t="s">
        <v>317</v>
      </c>
      <c r="C109" s="8">
        <v>89481.93</v>
      </c>
      <c r="D109" s="8">
        <v>596.53</v>
      </c>
      <c r="E109" s="9">
        <v>6.6664856245277704E-3</v>
      </c>
      <c r="F109" s="10" t="s">
        <v>17</v>
      </c>
      <c r="G109" s="10" t="s">
        <v>17</v>
      </c>
    </row>
    <row r="110" spans="1:7" x14ac:dyDescent="0.25">
      <c r="A110" s="6" t="s">
        <v>126</v>
      </c>
      <c r="B110" s="7" t="s">
        <v>253</v>
      </c>
      <c r="C110" s="8">
        <v>83191.23</v>
      </c>
      <c r="D110" s="8">
        <v>5971.26</v>
      </c>
      <c r="E110" s="9">
        <v>7.1777517894614604E-2</v>
      </c>
      <c r="F110" s="10" t="s">
        <v>17</v>
      </c>
      <c r="G110" s="10" t="s">
        <v>17</v>
      </c>
    </row>
    <row r="111" spans="1:7" x14ac:dyDescent="0.25">
      <c r="A111" s="6" t="s">
        <v>127</v>
      </c>
      <c r="B111" s="7" t="s">
        <v>230</v>
      </c>
      <c r="C111" s="8">
        <v>72927.91</v>
      </c>
      <c r="D111" s="8">
        <v>8441.44</v>
      </c>
      <c r="E111" s="9">
        <v>0.11575047193865801</v>
      </c>
      <c r="F111" s="10" t="s">
        <v>17</v>
      </c>
      <c r="G111" s="10" t="s">
        <v>17</v>
      </c>
    </row>
    <row r="112" spans="1:7" x14ac:dyDescent="0.25">
      <c r="A112" s="6" t="s">
        <v>128</v>
      </c>
      <c r="B112" s="7" t="s">
        <v>256</v>
      </c>
      <c r="C112" s="8">
        <v>71480.95</v>
      </c>
      <c r="D112" s="8">
        <v>4667.6499999999996</v>
      </c>
      <c r="E112" s="9">
        <v>6.5299216084844999E-2</v>
      </c>
      <c r="F112" s="10" t="s">
        <v>17</v>
      </c>
      <c r="G112" s="10" t="s">
        <v>17</v>
      </c>
    </row>
    <row r="113" spans="1:7" x14ac:dyDescent="0.25">
      <c r="A113" s="6" t="s">
        <v>129</v>
      </c>
      <c r="B113" s="7" t="s">
        <v>255</v>
      </c>
      <c r="C113" s="8">
        <v>71293.490000000005</v>
      </c>
      <c r="D113" s="8">
        <v>464.3</v>
      </c>
      <c r="E113" s="9">
        <v>6.51251607965889E-3</v>
      </c>
      <c r="F113" s="10" t="s">
        <v>17</v>
      </c>
      <c r="G113" s="10" t="s">
        <v>17</v>
      </c>
    </row>
    <row r="114" spans="1:7" x14ac:dyDescent="0.25">
      <c r="A114" s="6" t="s">
        <v>130</v>
      </c>
      <c r="B114" s="7" t="s">
        <v>321</v>
      </c>
      <c r="C114" s="8">
        <v>71004.14</v>
      </c>
      <c r="D114" s="8">
        <v>42587.67</v>
      </c>
      <c r="E114" s="9">
        <v>0.59979136427819602</v>
      </c>
      <c r="F114" s="10" t="s">
        <v>17</v>
      </c>
      <c r="G114" s="10" t="s">
        <v>17</v>
      </c>
    </row>
    <row r="115" spans="1:7" x14ac:dyDescent="0.25">
      <c r="A115" s="6" t="s">
        <v>131</v>
      </c>
      <c r="B115" s="7" t="s">
        <v>258</v>
      </c>
      <c r="C115" s="8">
        <v>66385.75</v>
      </c>
      <c r="D115" s="8">
        <v>4255.4799999999996</v>
      </c>
      <c r="E115" s="9">
        <v>6.4102311113454297E-2</v>
      </c>
      <c r="F115" s="10" t="s">
        <v>17</v>
      </c>
      <c r="G115" s="10" t="s">
        <v>17</v>
      </c>
    </row>
    <row r="116" spans="1:7" x14ac:dyDescent="0.25">
      <c r="A116" s="6" t="s">
        <v>132</v>
      </c>
      <c r="B116" s="7" t="s">
        <v>257</v>
      </c>
      <c r="C116" s="8">
        <v>55744.05</v>
      </c>
      <c r="D116" s="8">
        <v>1553.66</v>
      </c>
      <c r="E116" s="9">
        <v>2.7871315413932101E-2</v>
      </c>
      <c r="F116" s="10" t="s">
        <v>17</v>
      </c>
      <c r="G116" s="10" t="s">
        <v>17</v>
      </c>
    </row>
    <row r="117" spans="1:7" x14ac:dyDescent="0.25">
      <c r="A117" s="6" t="s">
        <v>133</v>
      </c>
      <c r="B117" s="7" t="s">
        <v>259</v>
      </c>
      <c r="C117" s="8">
        <v>53572.57</v>
      </c>
      <c r="D117" s="8">
        <v>3748.31</v>
      </c>
      <c r="E117" s="9">
        <v>6.9966962570584199E-2</v>
      </c>
      <c r="F117" s="10" t="s">
        <v>17</v>
      </c>
      <c r="G117" s="10" t="s">
        <v>17</v>
      </c>
    </row>
    <row r="118" spans="1:7" x14ac:dyDescent="0.25">
      <c r="A118" s="6" t="s">
        <v>134</v>
      </c>
      <c r="B118" s="7" t="s">
        <v>262</v>
      </c>
      <c r="C118" s="8">
        <v>50477.7</v>
      </c>
      <c r="D118" s="8">
        <v>6312.93</v>
      </c>
      <c r="E118" s="9">
        <v>0.125063741018311</v>
      </c>
      <c r="F118" s="10" t="s">
        <v>17</v>
      </c>
      <c r="G118" s="10" t="s">
        <v>17</v>
      </c>
    </row>
    <row r="119" spans="1:7" x14ac:dyDescent="0.25">
      <c r="A119" s="6" t="s">
        <v>135</v>
      </c>
      <c r="B119" s="7" t="s">
        <v>291</v>
      </c>
      <c r="C119" s="8">
        <v>49012.65</v>
      </c>
      <c r="D119" s="8">
        <v>7034.77</v>
      </c>
      <c r="E119" s="9">
        <v>0.143529680602865</v>
      </c>
      <c r="F119" s="10" t="s">
        <v>17</v>
      </c>
      <c r="G119" s="10" t="s">
        <v>17</v>
      </c>
    </row>
    <row r="120" spans="1:7" x14ac:dyDescent="0.25">
      <c r="A120" s="6" t="s">
        <v>136</v>
      </c>
      <c r="B120" s="7" t="s">
        <v>329</v>
      </c>
      <c r="C120" s="8">
        <v>42537.85</v>
      </c>
      <c r="D120" s="8">
        <v>3967.33</v>
      </c>
      <c r="E120" s="9">
        <v>9.3265879681272104E-2</v>
      </c>
      <c r="F120" s="10" t="s">
        <v>17</v>
      </c>
      <c r="G120" s="10" t="s">
        <v>17</v>
      </c>
    </row>
    <row r="121" spans="1:7" x14ac:dyDescent="0.25">
      <c r="A121" s="6" t="s">
        <v>137</v>
      </c>
      <c r="B121" s="7" t="s">
        <v>260</v>
      </c>
      <c r="C121" s="8">
        <v>41497.32</v>
      </c>
      <c r="D121" s="8">
        <v>345.25</v>
      </c>
      <c r="E121" s="9">
        <v>8.3198143880134894E-3</v>
      </c>
      <c r="F121" s="10" t="s">
        <v>17</v>
      </c>
      <c r="G121" s="10" t="s">
        <v>17</v>
      </c>
    </row>
    <row r="122" spans="1:7" x14ac:dyDescent="0.25">
      <c r="A122" s="6" t="s">
        <v>138</v>
      </c>
      <c r="B122" s="7" t="s">
        <v>283</v>
      </c>
      <c r="C122" s="8">
        <v>41057.43</v>
      </c>
      <c r="D122" s="8">
        <v>509.96</v>
      </c>
      <c r="E122" s="9">
        <v>1.24206507811132E-2</v>
      </c>
      <c r="F122" s="10" t="s">
        <v>17</v>
      </c>
      <c r="G122" s="10" t="s">
        <v>17</v>
      </c>
    </row>
    <row r="123" spans="1:7" x14ac:dyDescent="0.25">
      <c r="A123" s="6" t="s">
        <v>139</v>
      </c>
      <c r="B123" s="7" t="s">
        <v>310</v>
      </c>
      <c r="C123" s="8">
        <v>40240.42</v>
      </c>
      <c r="D123" s="8">
        <v>8090.51</v>
      </c>
      <c r="E123" s="9">
        <v>0.201054313051405</v>
      </c>
      <c r="F123" s="10" t="s">
        <v>17</v>
      </c>
      <c r="G123" s="10" t="s">
        <v>17</v>
      </c>
    </row>
    <row r="124" spans="1:7" x14ac:dyDescent="0.25">
      <c r="A124" s="6" t="s">
        <v>140</v>
      </c>
      <c r="B124" s="7" t="s">
        <v>263</v>
      </c>
      <c r="C124" s="8">
        <v>37151.410000000003</v>
      </c>
      <c r="D124" s="8">
        <v>990.22</v>
      </c>
      <c r="E124" s="9">
        <v>2.6653631719496002E-2</v>
      </c>
      <c r="F124" s="10" t="s">
        <v>17</v>
      </c>
      <c r="G124" s="10" t="s">
        <v>17</v>
      </c>
    </row>
    <row r="125" spans="1:7" x14ac:dyDescent="0.25">
      <c r="A125" s="6" t="s">
        <v>141</v>
      </c>
      <c r="B125" s="7" t="s">
        <v>251</v>
      </c>
      <c r="C125" s="8">
        <v>36000.230000000003</v>
      </c>
      <c r="D125" s="8">
        <v>1935.62</v>
      </c>
      <c r="E125" s="9">
        <v>5.37668787116082E-2</v>
      </c>
      <c r="F125" s="10" t="s">
        <v>17</v>
      </c>
      <c r="G125" s="10" t="s">
        <v>17</v>
      </c>
    </row>
    <row r="126" spans="1:7" x14ac:dyDescent="0.25">
      <c r="A126" s="6" t="s">
        <v>142</v>
      </c>
      <c r="B126" s="7" t="s">
        <v>266</v>
      </c>
      <c r="C126" s="8">
        <v>34212.47</v>
      </c>
      <c r="D126" s="8">
        <v>11632.65</v>
      </c>
      <c r="E126" s="9">
        <v>0.34001198978033498</v>
      </c>
      <c r="F126" s="10" t="s">
        <v>17</v>
      </c>
      <c r="G126" s="10" t="s">
        <v>17</v>
      </c>
    </row>
    <row r="127" spans="1:7" x14ac:dyDescent="0.25">
      <c r="A127" s="6" t="s">
        <v>143</v>
      </c>
      <c r="B127" s="7" t="s">
        <v>265</v>
      </c>
      <c r="C127" s="8">
        <v>31502.62</v>
      </c>
      <c r="D127" s="8">
        <v>4907.5600000000004</v>
      </c>
      <c r="E127" s="9">
        <v>0.155782598399752</v>
      </c>
      <c r="F127" s="10" t="s">
        <v>17</v>
      </c>
      <c r="G127" s="10" t="s">
        <v>17</v>
      </c>
    </row>
    <row r="128" spans="1:7" x14ac:dyDescent="0.25">
      <c r="A128" s="6" t="s">
        <v>144</v>
      </c>
      <c r="B128" s="7" t="s">
        <v>264</v>
      </c>
      <c r="C128" s="8">
        <v>30767.17</v>
      </c>
      <c r="D128" s="8">
        <v>1330.61</v>
      </c>
      <c r="E128" s="9">
        <v>4.3247721516148599E-2</v>
      </c>
      <c r="F128" s="10" t="s">
        <v>17</v>
      </c>
      <c r="G128" s="10" t="s">
        <v>17</v>
      </c>
    </row>
    <row r="129" spans="1:7" x14ac:dyDescent="0.25">
      <c r="A129" s="6" t="s">
        <v>145</v>
      </c>
      <c r="B129" s="7" t="s">
        <v>311</v>
      </c>
      <c r="C129" s="8">
        <v>27909.63</v>
      </c>
      <c r="D129" s="8">
        <v>2376</v>
      </c>
      <c r="E129" s="9">
        <v>8.5131906084029096E-2</v>
      </c>
      <c r="F129" s="10" t="s">
        <v>17</v>
      </c>
      <c r="G129" s="10" t="s">
        <v>17</v>
      </c>
    </row>
    <row r="130" spans="1:7" x14ac:dyDescent="0.25">
      <c r="A130" s="6" t="s">
        <v>146</v>
      </c>
      <c r="B130" s="7" t="s">
        <v>267</v>
      </c>
      <c r="C130" s="8">
        <v>17286.240000000002</v>
      </c>
      <c r="D130" s="8">
        <v>1233.58</v>
      </c>
      <c r="E130" s="9">
        <v>7.1361961884134406E-2</v>
      </c>
      <c r="F130" s="10" t="s">
        <v>17</v>
      </c>
      <c r="G130" s="10" t="s">
        <v>17</v>
      </c>
    </row>
    <row r="131" spans="1:7" x14ac:dyDescent="0.25">
      <c r="A131" s="6" t="s">
        <v>147</v>
      </c>
      <c r="B131" s="7" t="s">
        <v>268</v>
      </c>
      <c r="C131" s="8">
        <v>17159.72</v>
      </c>
      <c r="D131" s="8">
        <v>870.28</v>
      </c>
      <c r="E131" s="9">
        <v>5.0716445256682501E-2</v>
      </c>
      <c r="F131" s="10" t="s">
        <v>17</v>
      </c>
      <c r="G131" s="10" t="s">
        <v>17</v>
      </c>
    </row>
    <row r="132" spans="1:7" x14ac:dyDescent="0.25">
      <c r="A132" s="6" t="s">
        <v>148</v>
      </c>
      <c r="B132" s="7" t="s">
        <v>269</v>
      </c>
      <c r="C132" s="8">
        <v>14626.13</v>
      </c>
      <c r="D132" s="8">
        <v>1490.94</v>
      </c>
      <c r="E132" s="9">
        <v>0.101936739246814</v>
      </c>
      <c r="F132" s="10" t="s">
        <v>17</v>
      </c>
      <c r="G132" s="10" t="s">
        <v>17</v>
      </c>
    </row>
    <row r="133" spans="1:7" x14ac:dyDescent="0.25">
      <c r="A133" s="6" t="s">
        <v>149</v>
      </c>
      <c r="B133" s="7" t="s">
        <v>270</v>
      </c>
      <c r="C133" s="8">
        <v>14410.08</v>
      </c>
      <c r="D133" s="8">
        <v>120.25</v>
      </c>
      <c r="E133" s="9">
        <v>8.3448530473113295E-3</v>
      </c>
      <c r="F133" s="10" t="s">
        <v>17</v>
      </c>
      <c r="G133" s="10" t="s">
        <v>17</v>
      </c>
    </row>
    <row r="134" spans="1:7" x14ac:dyDescent="0.25">
      <c r="A134" s="6" t="s">
        <v>150</v>
      </c>
      <c r="B134" s="7" t="s">
        <v>277</v>
      </c>
      <c r="C134" s="8">
        <v>13603.23</v>
      </c>
      <c r="D134" s="8">
        <v>793.93</v>
      </c>
      <c r="E134" s="9">
        <v>5.8363344588013302E-2</v>
      </c>
      <c r="F134" s="10" t="s">
        <v>17</v>
      </c>
      <c r="G134" s="10" t="s">
        <v>17</v>
      </c>
    </row>
    <row r="135" spans="1:7" x14ac:dyDescent="0.25">
      <c r="A135" s="6" t="s">
        <v>151</v>
      </c>
      <c r="B135" s="7" t="s">
        <v>286</v>
      </c>
      <c r="C135" s="8">
        <v>7868.44</v>
      </c>
      <c r="D135" s="8">
        <v>81.739999999999995</v>
      </c>
      <c r="E135" s="9">
        <v>1.0388336188621901E-2</v>
      </c>
      <c r="F135" s="10" t="s">
        <v>17</v>
      </c>
      <c r="G135" s="10" t="s">
        <v>17</v>
      </c>
    </row>
    <row r="136" spans="1:7" x14ac:dyDescent="0.25">
      <c r="A136" s="6" t="s">
        <v>152</v>
      </c>
      <c r="B136" s="7" t="s">
        <v>322</v>
      </c>
      <c r="C136" s="8">
        <v>3770.49</v>
      </c>
      <c r="D136" s="8">
        <v>37.25</v>
      </c>
      <c r="E136" s="9">
        <v>9.8793525509947005E-3</v>
      </c>
      <c r="F136" s="10" t="s">
        <v>17</v>
      </c>
      <c r="G136" s="10" t="s">
        <v>17</v>
      </c>
    </row>
    <row r="137" spans="1:7" x14ac:dyDescent="0.25">
      <c r="A137" s="6" t="s">
        <v>153</v>
      </c>
      <c r="B137" s="7" t="s">
        <v>312</v>
      </c>
      <c r="C137" s="8">
        <v>2453.0300000000002</v>
      </c>
      <c r="D137" s="8">
        <v>52.68</v>
      </c>
      <c r="E137" s="9">
        <v>2.14754813434813E-2</v>
      </c>
      <c r="F137" s="10" t="s">
        <v>17</v>
      </c>
      <c r="G137" s="10" t="s">
        <v>17</v>
      </c>
    </row>
    <row r="138" spans="1:7" x14ac:dyDescent="0.25">
      <c r="A138" s="6" t="s">
        <v>154</v>
      </c>
      <c r="B138" s="7" t="s">
        <v>313</v>
      </c>
      <c r="C138" s="8">
        <v>1894.22</v>
      </c>
      <c r="D138" s="8">
        <v>282.63</v>
      </c>
      <c r="E138" s="9">
        <v>0.149206533559988</v>
      </c>
      <c r="F138" s="10" t="s">
        <v>17</v>
      </c>
      <c r="G138" s="10" t="s">
        <v>17</v>
      </c>
    </row>
    <row r="139" spans="1:7" x14ac:dyDescent="0.25">
      <c r="A139" s="6" t="s">
        <v>155</v>
      </c>
      <c r="B139" s="7" t="s">
        <v>323</v>
      </c>
      <c r="C139" s="8">
        <v>1000.02</v>
      </c>
      <c r="D139" s="8">
        <v>1000.02</v>
      </c>
      <c r="E139" s="9">
        <v>1</v>
      </c>
      <c r="F139" s="10" t="s">
        <v>17</v>
      </c>
      <c r="G139" s="10" t="s">
        <v>17</v>
      </c>
    </row>
    <row r="140" spans="1:7" x14ac:dyDescent="0.25">
      <c r="A140" s="6" t="s">
        <v>156</v>
      </c>
      <c r="B140" s="7" t="s">
        <v>324</v>
      </c>
      <c r="C140" s="8">
        <v>500.84</v>
      </c>
      <c r="D140" s="8">
        <v>81.819999999999993</v>
      </c>
      <c r="E140" s="9">
        <v>0.16336554588291699</v>
      </c>
      <c r="F140" s="10" t="s">
        <v>17</v>
      </c>
      <c r="G140" s="10" t="s">
        <v>17</v>
      </c>
    </row>
    <row r="141" spans="1:7" x14ac:dyDescent="0.25">
      <c r="A141" s="6" t="s">
        <v>328</v>
      </c>
      <c r="B141" s="7" t="s">
        <v>318</v>
      </c>
      <c r="C141" s="8">
        <v>299.95</v>
      </c>
      <c r="D141" s="8">
        <v>299.95</v>
      </c>
      <c r="E141" s="9">
        <v>1</v>
      </c>
      <c r="F141" s="10" t="s">
        <v>17</v>
      </c>
      <c r="G141" s="10" t="s">
        <v>17</v>
      </c>
    </row>
    <row r="142" spans="1:7" x14ac:dyDescent="0.25">
      <c r="A142" s="6" t="s">
        <v>330</v>
      </c>
      <c r="B142" s="7" t="s">
        <v>319</v>
      </c>
      <c r="C142" s="8">
        <v>0</v>
      </c>
      <c r="D142" s="8">
        <v>0</v>
      </c>
      <c r="E142" s="9">
        <v>0</v>
      </c>
      <c r="F142" s="10" t="s">
        <v>17</v>
      </c>
      <c r="G142" s="10" t="s">
        <v>17</v>
      </c>
    </row>
    <row r="143" spans="1:7" x14ac:dyDescent="0.25">
      <c r="C143" s="8"/>
      <c r="D143" s="8"/>
      <c r="E143" s="9"/>
    </row>
    <row r="144" spans="1:7" x14ac:dyDescent="0.25">
      <c r="C144" s="8"/>
      <c r="D144" s="8"/>
      <c r="E144" s="9"/>
    </row>
    <row r="145" spans="1:7" x14ac:dyDescent="0.25">
      <c r="C145" s="8"/>
      <c r="D145" s="8"/>
      <c r="E145" s="9"/>
    </row>
    <row r="146" spans="1:7" x14ac:dyDescent="0.25">
      <c r="C146" s="8"/>
      <c r="D146" s="8" t="s">
        <v>298</v>
      </c>
      <c r="E146" s="9"/>
    </row>
    <row r="147" spans="1:7" ht="31.5" x14ac:dyDescent="0.25">
      <c r="A147" s="18"/>
      <c r="B147" s="19" t="s">
        <v>157</v>
      </c>
      <c r="C147" s="3" t="s">
        <v>158</v>
      </c>
      <c r="D147" s="3" t="s">
        <v>159</v>
      </c>
      <c r="E147" s="4" t="s">
        <v>160</v>
      </c>
      <c r="F147" s="5" t="s">
        <v>161</v>
      </c>
      <c r="G147" s="5" t="s">
        <v>162</v>
      </c>
    </row>
    <row r="148" spans="1:7" x14ac:dyDescent="0.25">
      <c r="A148" s="6" t="s">
        <v>18</v>
      </c>
      <c r="B148" s="7" t="s">
        <v>315</v>
      </c>
      <c r="C148" s="8">
        <v>3000329.6</v>
      </c>
      <c r="D148" s="8">
        <v>3000329.6</v>
      </c>
      <c r="E148" s="9">
        <v>1</v>
      </c>
      <c r="F148" s="10" t="s">
        <v>17</v>
      </c>
      <c r="G148" s="10" t="s">
        <v>17</v>
      </c>
    </row>
    <row r="149" spans="1:7" x14ac:dyDescent="0.25">
      <c r="A149" s="6" t="s">
        <v>19</v>
      </c>
      <c r="B149" s="7" t="s">
        <v>183</v>
      </c>
      <c r="C149" s="8">
        <v>1273191.6100000001</v>
      </c>
      <c r="D149" s="8">
        <v>203094.28</v>
      </c>
      <c r="E149" s="9">
        <v>0.15951587993892</v>
      </c>
      <c r="F149" s="10" t="s">
        <v>17</v>
      </c>
      <c r="G149" s="10" t="s">
        <v>17</v>
      </c>
    </row>
    <row r="150" spans="1:7" x14ac:dyDescent="0.25">
      <c r="A150" s="6" t="s">
        <v>20</v>
      </c>
      <c r="B150" s="7" t="s">
        <v>165</v>
      </c>
      <c r="C150" s="8">
        <v>1126862.7</v>
      </c>
      <c r="D150" s="8">
        <v>1117478.24</v>
      </c>
      <c r="E150" s="9">
        <v>0.991672046647742</v>
      </c>
      <c r="F150" s="10" t="s">
        <v>17</v>
      </c>
      <c r="G150" s="10" t="s">
        <v>17</v>
      </c>
    </row>
    <row r="151" spans="1:7" x14ac:dyDescent="0.25">
      <c r="A151" s="6" t="s">
        <v>21</v>
      </c>
      <c r="B151" s="7" t="s">
        <v>244</v>
      </c>
      <c r="C151" s="8">
        <v>970820.17</v>
      </c>
      <c r="D151" s="8">
        <v>751.15</v>
      </c>
      <c r="E151" s="9">
        <v>7.7372722900884898E-4</v>
      </c>
      <c r="F151" s="10" t="s">
        <v>17</v>
      </c>
      <c r="G151" s="10" t="s">
        <v>17</v>
      </c>
    </row>
    <row r="152" spans="1:7" x14ac:dyDescent="0.25">
      <c r="A152" s="6" t="s">
        <v>22</v>
      </c>
      <c r="B152" s="7" t="s">
        <v>278</v>
      </c>
      <c r="C152" s="8">
        <v>699117.09</v>
      </c>
      <c r="D152" s="8">
        <v>292102.48</v>
      </c>
      <c r="E152" s="9">
        <v>0.41781624877744</v>
      </c>
      <c r="F152" s="10" t="s">
        <v>17</v>
      </c>
      <c r="G152" s="10" t="s">
        <v>17</v>
      </c>
    </row>
    <row r="153" spans="1:7" x14ac:dyDescent="0.25">
      <c r="A153" s="6" t="s">
        <v>23</v>
      </c>
      <c r="B153" s="7" t="s">
        <v>325</v>
      </c>
      <c r="C153" s="8">
        <v>589922</v>
      </c>
      <c r="D153" s="8">
        <v>589922</v>
      </c>
      <c r="E153" s="9">
        <v>1</v>
      </c>
      <c r="F153" s="10" t="s">
        <v>17</v>
      </c>
      <c r="G153" s="10" t="s">
        <v>17</v>
      </c>
    </row>
    <row r="154" spans="1:7" x14ac:dyDescent="0.25">
      <c r="A154" s="6" t="s">
        <v>24</v>
      </c>
      <c r="B154" s="7" t="s">
        <v>182</v>
      </c>
      <c r="C154" s="8">
        <v>516673.13</v>
      </c>
      <c r="D154" s="8">
        <v>516673.13</v>
      </c>
      <c r="E154" s="9">
        <v>1</v>
      </c>
      <c r="F154" s="10" t="s">
        <v>17</v>
      </c>
      <c r="G154" s="10" t="s">
        <v>17</v>
      </c>
    </row>
    <row r="155" spans="1:7" x14ac:dyDescent="0.25">
      <c r="A155" s="6" t="s">
        <v>25</v>
      </c>
      <c r="B155" s="7" t="s">
        <v>189</v>
      </c>
      <c r="C155" s="8">
        <v>298540.15999999997</v>
      </c>
      <c r="D155" s="8">
        <v>298540.15999999997</v>
      </c>
      <c r="E155" s="9">
        <v>1</v>
      </c>
      <c r="F155" s="10" t="s">
        <v>17</v>
      </c>
      <c r="G155" s="10" t="s">
        <v>17</v>
      </c>
    </row>
    <row r="156" spans="1:7" x14ac:dyDescent="0.25">
      <c r="A156" s="6" t="s">
        <v>26</v>
      </c>
      <c r="B156" s="7" t="s">
        <v>280</v>
      </c>
      <c r="C156" s="8">
        <v>223986.76</v>
      </c>
      <c r="D156" s="8">
        <v>887.73</v>
      </c>
      <c r="E156" s="9">
        <v>3.9633146173461298E-3</v>
      </c>
      <c r="F156" s="10" t="s">
        <v>17</v>
      </c>
      <c r="G156" s="10" t="s">
        <v>17</v>
      </c>
    </row>
    <row r="157" spans="1:7" x14ac:dyDescent="0.25">
      <c r="A157" s="6" t="s">
        <v>27</v>
      </c>
      <c r="B157" s="7" t="s">
        <v>173</v>
      </c>
      <c r="C157" s="8">
        <v>209471.03</v>
      </c>
      <c r="D157" s="8">
        <v>28541.66</v>
      </c>
      <c r="E157" s="9">
        <v>0.13625588225732199</v>
      </c>
      <c r="F157" s="10" t="s">
        <v>17</v>
      </c>
      <c r="G157" s="10" t="s">
        <v>17</v>
      </c>
    </row>
    <row r="158" spans="1:7" x14ac:dyDescent="0.25">
      <c r="A158" s="6" t="s">
        <v>28</v>
      </c>
      <c r="B158" s="7" t="s">
        <v>205</v>
      </c>
      <c r="C158" s="8">
        <v>205607.25</v>
      </c>
      <c r="D158" s="8">
        <v>23301.82</v>
      </c>
      <c r="E158" s="9">
        <v>0.113331704013356</v>
      </c>
      <c r="F158" s="10" t="s">
        <v>17</v>
      </c>
      <c r="G158" s="10" t="s">
        <v>17</v>
      </c>
    </row>
    <row r="159" spans="1:7" x14ac:dyDescent="0.25">
      <c r="A159" s="6" t="s">
        <v>29</v>
      </c>
      <c r="B159" s="7" t="s">
        <v>186</v>
      </c>
      <c r="C159" s="8">
        <v>202257.15</v>
      </c>
      <c r="D159" s="8">
        <v>202257.15</v>
      </c>
      <c r="E159" s="9">
        <v>1</v>
      </c>
      <c r="F159" s="10" t="s">
        <v>17</v>
      </c>
      <c r="G159" s="10" t="s">
        <v>17</v>
      </c>
    </row>
    <row r="160" spans="1:7" x14ac:dyDescent="0.25">
      <c r="A160" s="6" t="s">
        <v>30</v>
      </c>
      <c r="B160" s="7" t="s">
        <v>224</v>
      </c>
      <c r="C160" s="8">
        <v>201401.3</v>
      </c>
      <c r="D160" s="8">
        <v>201401.3</v>
      </c>
      <c r="E160" s="9">
        <v>1</v>
      </c>
      <c r="F160" s="10" t="s">
        <v>17</v>
      </c>
      <c r="G160" s="10" t="s">
        <v>17</v>
      </c>
    </row>
    <row r="161" spans="1:7" x14ac:dyDescent="0.25">
      <c r="A161" s="6" t="s">
        <v>31</v>
      </c>
      <c r="B161" s="7" t="s">
        <v>195</v>
      </c>
      <c r="C161" s="8">
        <v>170740.24</v>
      </c>
      <c r="D161" s="8">
        <v>70896.710000000006</v>
      </c>
      <c r="E161" s="9">
        <v>0.41523140649210799</v>
      </c>
      <c r="F161" s="10" t="s">
        <v>17</v>
      </c>
      <c r="G161" s="10" t="s">
        <v>17</v>
      </c>
    </row>
    <row r="162" spans="1:7" x14ac:dyDescent="0.25">
      <c r="A162" s="6" t="s">
        <v>32</v>
      </c>
      <c r="B162" s="7" t="s">
        <v>180</v>
      </c>
      <c r="C162" s="8">
        <v>157959.35999999999</v>
      </c>
      <c r="D162" s="8">
        <v>1251.25</v>
      </c>
      <c r="E162" s="9">
        <v>7.92134128677148E-3</v>
      </c>
      <c r="F162" s="10" t="s">
        <v>17</v>
      </c>
      <c r="G162" s="10" t="s">
        <v>17</v>
      </c>
    </row>
    <row r="163" spans="1:7" x14ac:dyDescent="0.25">
      <c r="A163" s="6" t="s">
        <v>33</v>
      </c>
      <c r="B163" s="7" t="s">
        <v>163</v>
      </c>
      <c r="C163" s="8">
        <v>149802.06</v>
      </c>
      <c r="D163" s="8">
        <v>50.14</v>
      </c>
      <c r="E163" s="9">
        <v>3.3470834780242702E-4</v>
      </c>
      <c r="F163" s="10" t="s">
        <v>17</v>
      </c>
      <c r="G163" s="10" t="s">
        <v>17</v>
      </c>
    </row>
    <row r="164" spans="1:7" x14ac:dyDescent="0.25">
      <c r="A164" s="6" t="s">
        <v>34</v>
      </c>
      <c r="B164" s="7" t="s">
        <v>211</v>
      </c>
      <c r="C164" s="8">
        <v>144789.93</v>
      </c>
      <c r="D164" s="8">
        <v>12266.13</v>
      </c>
      <c r="E164" s="9">
        <v>8.4716734098842394E-2</v>
      </c>
      <c r="F164" s="10" t="s">
        <v>17</v>
      </c>
      <c r="G164" s="10" t="s">
        <v>17</v>
      </c>
    </row>
    <row r="165" spans="1:7" x14ac:dyDescent="0.25">
      <c r="A165" s="6" t="s">
        <v>35</v>
      </c>
      <c r="B165" s="7" t="s">
        <v>254</v>
      </c>
      <c r="C165" s="8">
        <v>139467.95000000001</v>
      </c>
      <c r="D165" s="8">
        <v>16531.11</v>
      </c>
      <c r="E165" s="9">
        <v>0.11852981276343399</v>
      </c>
      <c r="F165" s="10" t="s">
        <v>17</v>
      </c>
      <c r="G165" s="10" t="s">
        <v>17</v>
      </c>
    </row>
    <row r="166" spans="1:7" x14ac:dyDescent="0.25">
      <c r="A166" s="6" t="s">
        <v>36</v>
      </c>
      <c r="B166" s="7" t="s">
        <v>279</v>
      </c>
      <c r="C166" s="8">
        <v>134908.72</v>
      </c>
      <c r="D166" s="8">
        <v>134908.72</v>
      </c>
      <c r="E166" s="9">
        <v>1</v>
      </c>
      <c r="F166" s="10" t="s">
        <v>17</v>
      </c>
      <c r="G166" s="10" t="s">
        <v>17</v>
      </c>
    </row>
    <row r="167" spans="1:7" x14ac:dyDescent="0.25">
      <c r="A167" s="6" t="s">
        <v>37</v>
      </c>
      <c r="B167" s="7" t="s">
        <v>187</v>
      </c>
      <c r="C167" s="8">
        <v>131167.23000000001</v>
      </c>
      <c r="D167" s="8">
        <v>131167.23000000001</v>
      </c>
      <c r="E167" s="9">
        <v>1</v>
      </c>
      <c r="F167" s="10" t="s">
        <v>17</v>
      </c>
      <c r="G167" s="10" t="s">
        <v>17</v>
      </c>
    </row>
    <row r="168" spans="1:7" x14ac:dyDescent="0.25">
      <c r="A168" s="6" t="s">
        <v>38</v>
      </c>
      <c r="B168" s="7" t="s">
        <v>303</v>
      </c>
      <c r="C168" s="8">
        <v>121006.87</v>
      </c>
      <c r="D168" s="8">
        <v>121006.87</v>
      </c>
      <c r="E168" s="9">
        <v>1</v>
      </c>
      <c r="F168" s="10" t="s">
        <v>17</v>
      </c>
      <c r="G168" s="10" t="s">
        <v>17</v>
      </c>
    </row>
    <row r="169" spans="1:7" x14ac:dyDescent="0.25">
      <c r="A169" s="6" t="s">
        <v>39</v>
      </c>
      <c r="B169" s="7" t="s">
        <v>215</v>
      </c>
      <c r="C169" s="8">
        <v>119208.02</v>
      </c>
      <c r="D169" s="8">
        <v>935.69</v>
      </c>
      <c r="E169" s="9">
        <v>7.8492202118615809E-3</v>
      </c>
      <c r="F169" s="10" t="s">
        <v>17</v>
      </c>
      <c r="G169" s="10" t="s">
        <v>17</v>
      </c>
    </row>
    <row r="170" spans="1:7" x14ac:dyDescent="0.25">
      <c r="A170" s="6" t="s">
        <v>40</v>
      </c>
      <c r="B170" s="7" t="s">
        <v>308</v>
      </c>
      <c r="C170" s="8">
        <v>99609.551000000007</v>
      </c>
      <c r="D170" s="8">
        <v>2017.19</v>
      </c>
      <c r="E170" s="9">
        <v>2.0250969708718002E-2</v>
      </c>
      <c r="F170" s="10" t="s">
        <v>17</v>
      </c>
      <c r="G170" s="10" t="s">
        <v>17</v>
      </c>
    </row>
    <row r="171" spans="1:7" x14ac:dyDescent="0.25">
      <c r="A171" s="6" t="s">
        <v>41</v>
      </c>
      <c r="B171" s="7" t="s">
        <v>294</v>
      </c>
      <c r="C171" s="8">
        <v>83280.59</v>
      </c>
      <c r="D171" s="8">
        <v>46107.81</v>
      </c>
      <c r="E171" s="9">
        <v>0.55364413244430699</v>
      </c>
      <c r="F171" s="10" t="s">
        <v>17</v>
      </c>
      <c r="G171" s="10" t="s">
        <v>17</v>
      </c>
    </row>
    <row r="172" spans="1:7" x14ac:dyDescent="0.25">
      <c r="A172" s="6" t="s">
        <v>42</v>
      </c>
      <c r="B172" s="7" t="s">
        <v>184</v>
      </c>
      <c r="C172" s="8">
        <v>80131.839999999997</v>
      </c>
      <c r="D172" s="8">
        <v>80131.839999999997</v>
      </c>
      <c r="E172" s="9">
        <v>1</v>
      </c>
      <c r="F172" s="10" t="s">
        <v>17</v>
      </c>
      <c r="G172" s="10" t="s">
        <v>17</v>
      </c>
    </row>
    <row r="173" spans="1:7" x14ac:dyDescent="0.25">
      <c r="A173" s="6" t="s">
        <v>43</v>
      </c>
      <c r="B173" s="7" t="s">
        <v>280</v>
      </c>
      <c r="C173" s="8">
        <v>76919.02</v>
      </c>
      <c r="D173" s="8">
        <v>1167</v>
      </c>
      <c r="E173" s="9">
        <v>1.51718001607405E-2</v>
      </c>
      <c r="F173" s="10" t="s">
        <v>17</v>
      </c>
      <c r="G173" s="10" t="s">
        <v>17</v>
      </c>
    </row>
    <row r="174" spans="1:7" x14ac:dyDescent="0.25">
      <c r="A174" s="6" t="s">
        <v>44</v>
      </c>
      <c r="B174" s="7" t="s">
        <v>284</v>
      </c>
      <c r="C174" s="8">
        <v>58436.19</v>
      </c>
      <c r="D174" s="8">
        <v>11230.33</v>
      </c>
      <c r="E174" s="9">
        <v>0.192181078198288</v>
      </c>
      <c r="F174" s="10" t="s">
        <v>17</v>
      </c>
      <c r="G174" s="10" t="s">
        <v>17</v>
      </c>
    </row>
    <row r="175" spans="1:7" x14ac:dyDescent="0.25">
      <c r="A175" s="6" t="s">
        <v>45</v>
      </c>
      <c r="B175" s="7" t="s">
        <v>175</v>
      </c>
      <c r="C175" s="8">
        <v>57342.77</v>
      </c>
      <c r="D175" s="8">
        <v>57342.77</v>
      </c>
      <c r="E175" s="9">
        <v>1</v>
      </c>
      <c r="F175" s="10" t="s">
        <v>17</v>
      </c>
      <c r="G175" s="10" t="s">
        <v>17</v>
      </c>
    </row>
    <row r="176" spans="1:7" x14ac:dyDescent="0.25">
      <c r="A176" s="6" t="s">
        <v>46</v>
      </c>
      <c r="B176" s="7" t="s">
        <v>227</v>
      </c>
      <c r="C176" s="8">
        <v>50059.42</v>
      </c>
      <c r="D176" s="8">
        <v>50059.42</v>
      </c>
      <c r="E176" s="9">
        <v>1</v>
      </c>
      <c r="F176" s="10" t="s">
        <v>17</v>
      </c>
      <c r="G176" s="10" t="s">
        <v>17</v>
      </c>
    </row>
    <row r="177" spans="1:7" x14ac:dyDescent="0.25">
      <c r="A177" s="6" t="s">
        <v>47</v>
      </c>
      <c r="B177" s="7" t="s">
        <v>248</v>
      </c>
      <c r="C177" s="8">
        <v>37314.75</v>
      </c>
      <c r="D177" s="8">
        <v>37314.75</v>
      </c>
      <c r="E177" s="9">
        <v>1</v>
      </c>
      <c r="F177" s="10" t="s">
        <v>17</v>
      </c>
      <c r="G177" s="10" t="s">
        <v>17</v>
      </c>
    </row>
    <row r="178" spans="1:7" x14ac:dyDescent="0.25">
      <c r="A178" s="6" t="s">
        <v>48</v>
      </c>
      <c r="B178" s="7" t="s">
        <v>261</v>
      </c>
      <c r="C178" s="8">
        <v>35484.400000000001</v>
      </c>
      <c r="D178" s="8">
        <v>9833.81</v>
      </c>
      <c r="E178" s="9">
        <v>0.27713051369052299</v>
      </c>
      <c r="F178" s="10" t="s">
        <v>17</v>
      </c>
      <c r="G178" s="10" t="s">
        <v>17</v>
      </c>
    </row>
    <row r="179" spans="1:7" x14ac:dyDescent="0.25">
      <c r="A179" s="6" t="s">
        <v>49</v>
      </c>
      <c r="B179" s="7" t="s">
        <v>190</v>
      </c>
      <c r="C179" s="8">
        <v>33618.79</v>
      </c>
      <c r="D179" s="8">
        <v>33618.79</v>
      </c>
      <c r="E179" s="9">
        <v>1</v>
      </c>
      <c r="F179" s="10" t="s">
        <v>17</v>
      </c>
      <c r="G179" s="10" t="s">
        <v>17</v>
      </c>
    </row>
    <row r="180" spans="1:7" x14ac:dyDescent="0.25">
      <c r="A180" s="6" t="s">
        <v>50</v>
      </c>
      <c r="B180" s="7" t="s">
        <v>220</v>
      </c>
      <c r="C180" s="8">
        <v>20872.25</v>
      </c>
      <c r="D180" s="8">
        <v>20872.25</v>
      </c>
      <c r="E180" s="9">
        <v>1</v>
      </c>
      <c r="F180" s="10" t="s">
        <v>17</v>
      </c>
      <c r="G180" s="10" t="s">
        <v>17</v>
      </c>
    </row>
    <row r="181" spans="1:7" x14ac:dyDescent="0.25">
      <c r="A181" s="6" t="s">
        <v>51</v>
      </c>
      <c r="B181" s="7" t="s">
        <v>285</v>
      </c>
      <c r="C181" s="8">
        <v>20002.439999999999</v>
      </c>
      <c r="D181" s="8">
        <v>20002.439999999999</v>
      </c>
      <c r="E181" s="9">
        <v>1</v>
      </c>
      <c r="F181" s="10" t="s">
        <v>17</v>
      </c>
      <c r="G181" s="10" t="s">
        <v>17</v>
      </c>
    </row>
    <row r="182" spans="1:7" x14ac:dyDescent="0.25">
      <c r="A182" s="6" t="s">
        <v>52</v>
      </c>
      <c r="B182" s="7" t="s">
        <v>287</v>
      </c>
      <c r="C182" s="8">
        <v>11621.47</v>
      </c>
      <c r="D182" s="8">
        <v>285.43</v>
      </c>
      <c r="E182" s="9">
        <v>2.4560576243797001E-2</v>
      </c>
      <c r="F182" s="10" t="s">
        <v>17</v>
      </c>
      <c r="G182" s="10" t="s">
        <v>17</v>
      </c>
    </row>
    <row r="183" spans="1:7" x14ac:dyDescent="0.25">
      <c r="A183" s="6" t="s">
        <v>53</v>
      </c>
      <c r="B183" s="7" t="s">
        <v>164</v>
      </c>
      <c r="C183" s="8">
        <v>7290.03</v>
      </c>
      <c r="D183" s="8">
        <v>7290.03</v>
      </c>
      <c r="E183" s="9">
        <v>1</v>
      </c>
      <c r="F183" s="10" t="s">
        <v>17</v>
      </c>
      <c r="G183" s="10" t="s">
        <v>17</v>
      </c>
    </row>
    <row r="184" spans="1:7" x14ac:dyDescent="0.25">
      <c r="A184" s="6" t="s">
        <v>54</v>
      </c>
      <c r="B184" s="7" t="s">
        <v>238</v>
      </c>
      <c r="C184" s="8">
        <v>6150.46</v>
      </c>
      <c r="D184" s="8">
        <v>66.16</v>
      </c>
      <c r="E184" s="9">
        <v>1.07569189946768E-2</v>
      </c>
      <c r="F184" s="10" t="s">
        <v>17</v>
      </c>
      <c r="G184" s="10" t="s">
        <v>17</v>
      </c>
    </row>
    <row r="185" spans="1:7" x14ac:dyDescent="0.25">
      <c r="A185" s="6" t="s">
        <v>55</v>
      </c>
      <c r="B185" s="7" t="s">
        <v>261</v>
      </c>
      <c r="C185" s="8">
        <v>5505.76</v>
      </c>
      <c r="D185" s="8">
        <v>5505.76</v>
      </c>
      <c r="E185" s="9">
        <v>1</v>
      </c>
      <c r="F185" s="10" t="s">
        <v>17</v>
      </c>
      <c r="G185" s="10" t="s">
        <v>17</v>
      </c>
    </row>
    <row r="186" spans="1:7" x14ac:dyDescent="0.25">
      <c r="A186" s="6" t="s">
        <v>56</v>
      </c>
      <c r="B186" s="7" t="s">
        <v>288</v>
      </c>
      <c r="C186" s="8">
        <v>4935.42</v>
      </c>
      <c r="D186" s="8">
        <v>948.17</v>
      </c>
      <c r="E186" s="9">
        <v>0.19211536201579599</v>
      </c>
      <c r="F186" s="10" t="s">
        <v>17</v>
      </c>
      <c r="G186" s="10" t="s">
        <v>17</v>
      </c>
    </row>
    <row r="187" spans="1:7" x14ac:dyDescent="0.25">
      <c r="A187" s="6" t="s">
        <v>57</v>
      </c>
      <c r="B187" s="7" t="s">
        <v>326</v>
      </c>
      <c r="C187" s="8">
        <v>2496.69</v>
      </c>
      <c r="D187" s="8">
        <v>2496.69</v>
      </c>
      <c r="E187" s="9">
        <v>1</v>
      </c>
      <c r="F187" s="10" t="s">
        <v>17</v>
      </c>
      <c r="G187" s="10" t="s">
        <v>17</v>
      </c>
    </row>
    <row r="188" spans="1:7" x14ac:dyDescent="0.25">
      <c r="A188" s="6" t="s">
        <v>58</v>
      </c>
      <c r="B188" s="7" t="s">
        <v>305</v>
      </c>
      <c r="C188" s="8">
        <v>2000</v>
      </c>
      <c r="D188" s="8">
        <v>2000</v>
      </c>
      <c r="E188" s="9">
        <v>1</v>
      </c>
      <c r="F188" s="10" t="s">
        <v>17</v>
      </c>
      <c r="G188" s="10" t="s">
        <v>17</v>
      </c>
    </row>
    <row r="189" spans="1:7" x14ac:dyDescent="0.25">
      <c r="A189" s="6" t="s">
        <v>59</v>
      </c>
      <c r="B189" s="7" t="s">
        <v>202</v>
      </c>
      <c r="C189" s="8">
        <v>1581.38</v>
      </c>
      <c r="D189" s="8">
        <v>19.43</v>
      </c>
      <c r="E189" s="9">
        <v>1.2286736900681701E-2</v>
      </c>
      <c r="F189" s="10" t="s">
        <v>17</v>
      </c>
      <c r="G189" s="10" t="s">
        <v>17</v>
      </c>
    </row>
    <row r="190" spans="1:7" x14ac:dyDescent="0.25">
      <c r="A190" s="6" t="s">
        <v>60</v>
      </c>
      <c r="B190" s="7" t="s">
        <v>289</v>
      </c>
      <c r="C190" s="8">
        <v>1246.71</v>
      </c>
      <c r="D190" s="8">
        <v>54.98</v>
      </c>
      <c r="E190" s="9">
        <v>4.4100071387892903E-2</v>
      </c>
      <c r="F190" s="10" t="s">
        <v>17</v>
      </c>
      <c r="G190" s="10" t="s">
        <v>17</v>
      </c>
    </row>
    <row r="191" spans="1:7" x14ac:dyDescent="0.25">
      <c r="A191" s="6" t="s">
        <v>61</v>
      </c>
      <c r="B191" s="7" t="s">
        <v>295</v>
      </c>
      <c r="C191" s="8">
        <v>1200.01</v>
      </c>
      <c r="D191" s="8">
        <v>1200.01</v>
      </c>
      <c r="E191" s="9">
        <v>1</v>
      </c>
      <c r="F191" s="10" t="s">
        <v>17</v>
      </c>
      <c r="G191" s="10" t="s">
        <v>17</v>
      </c>
    </row>
    <row r="192" spans="1:7" x14ac:dyDescent="0.25">
      <c r="A192" s="6" t="s">
        <v>62</v>
      </c>
      <c r="B192" s="7" t="s">
        <v>327</v>
      </c>
      <c r="C192" s="8">
        <v>1150.42</v>
      </c>
      <c r="D192" s="8">
        <v>1150.42</v>
      </c>
      <c r="E192" s="9">
        <v>1</v>
      </c>
      <c r="F192" s="10" t="s">
        <v>17</v>
      </c>
      <c r="G192" s="10" t="s">
        <v>17</v>
      </c>
    </row>
    <row r="193" spans="1:7" x14ac:dyDescent="0.25">
      <c r="A193" s="6" t="s">
        <v>63</v>
      </c>
      <c r="B193" s="7" t="s">
        <v>314</v>
      </c>
      <c r="C193" s="8">
        <v>1000.42</v>
      </c>
      <c r="D193" s="8">
        <v>1000.42</v>
      </c>
      <c r="E193" s="9">
        <v>1</v>
      </c>
      <c r="F193" s="10" t="s">
        <v>17</v>
      </c>
      <c r="G193" s="10" t="s">
        <v>17</v>
      </c>
    </row>
    <row r="194" spans="1:7" x14ac:dyDescent="0.25">
      <c r="A194" s="6" t="s">
        <v>64</v>
      </c>
      <c r="B194" s="7" t="s">
        <v>290</v>
      </c>
      <c r="C194" s="8">
        <v>643.79999999999995</v>
      </c>
      <c r="D194" s="8">
        <v>89.51</v>
      </c>
      <c r="E194" s="9">
        <v>0.139033861447655</v>
      </c>
      <c r="F194" s="10" t="s">
        <v>17</v>
      </c>
      <c r="G194" s="10" t="s">
        <v>17</v>
      </c>
    </row>
    <row r="195" spans="1:7" x14ac:dyDescent="0.25">
      <c r="A195" s="6" t="s">
        <v>65</v>
      </c>
      <c r="B195" s="7" t="s">
        <v>204</v>
      </c>
      <c r="C195" s="8">
        <v>21.6</v>
      </c>
      <c r="D195" s="8">
        <v>21.6</v>
      </c>
      <c r="E195" s="9">
        <v>1</v>
      </c>
      <c r="F195" s="10" t="s">
        <v>17</v>
      </c>
      <c r="G195" s="10" t="s">
        <v>17</v>
      </c>
    </row>
    <row r="196" spans="1:7" x14ac:dyDescent="0.25">
      <c r="A196" s="6" t="s">
        <v>66</v>
      </c>
      <c r="B196" s="7" t="s">
        <v>271</v>
      </c>
      <c r="C196" s="8">
        <v>20.07</v>
      </c>
      <c r="D196" s="8">
        <v>20.07</v>
      </c>
      <c r="E196" s="9">
        <v>1</v>
      </c>
      <c r="F196" s="10" t="s">
        <v>17</v>
      </c>
      <c r="G196" s="10" t="s">
        <v>17</v>
      </c>
    </row>
    <row r="197" spans="1:7" x14ac:dyDescent="0.25">
      <c r="A197" s="6" t="s">
        <v>67</v>
      </c>
      <c r="B197" s="7" t="s">
        <v>297</v>
      </c>
      <c r="C197" s="8">
        <v>6.87</v>
      </c>
      <c r="D197" s="8">
        <v>6.87</v>
      </c>
      <c r="E197" s="9">
        <v>1</v>
      </c>
      <c r="F197" s="10" t="s">
        <v>17</v>
      </c>
      <c r="G197" s="10" t="s">
        <v>17</v>
      </c>
    </row>
    <row r="198" spans="1:7" x14ac:dyDescent="0.25">
      <c r="A198" s="6" t="s">
        <v>68</v>
      </c>
      <c r="B198" s="7" t="s">
        <v>296</v>
      </c>
      <c r="C198" s="8">
        <v>3.17</v>
      </c>
      <c r="D198" s="8">
        <v>3.17</v>
      </c>
      <c r="E198" s="9">
        <v>1</v>
      </c>
      <c r="F198" s="10" t="s">
        <v>17</v>
      </c>
      <c r="G198" s="10" t="s">
        <v>17</v>
      </c>
    </row>
    <row r="199" spans="1:7" x14ac:dyDescent="0.25">
      <c r="A199" s="6" t="s">
        <v>69</v>
      </c>
      <c r="B199" s="7" t="s">
        <v>281</v>
      </c>
      <c r="C199" s="8">
        <v>0.33</v>
      </c>
      <c r="D199" s="8">
        <v>0.33</v>
      </c>
      <c r="E199" s="9">
        <v>1</v>
      </c>
      <c r="F199" s="10" t="s">
        <v>17</v>
      </c>
      <c r="G199" s="10" t="s">
        <v>17</v>
      </c>
    </row>
    <row r="200" spans="1:7" x14ac:dyDescent="0.25">
      <c r="A200" s="6" t="s">
        <v>70</v>
      </c>
      <c r="B200" s="7" t="s">
        <v>230</v>
      </c>
      <c r="C200" s="8">
        <v>0.01</v>
      </c>
      <c r="D200" s="8">
        <v>0.01</v>
      </c>
      <c r="E200" s="9">
        <v>1</v>
      </c>
      <c r="F200" s="10" t="s">
        <v>17</v>
      </c>
      <c r="G200" s="10" t="s">
        <v>17</v>
      </c>
    </row>
    <row r="201" spans="1:7" x14ac:dyDescent="0.25">
      <c r="A201" s="6" t="s">
        <v>71</v>
      </c>
      <c r="B201" s="7" t="s">
        <v>208</v>
      </c>
      <c r="C201" s="8">
        <v>0.01</v>
      </c>
      <c r="D201" s="8">
        <v>0.01</v>
      </c>
      <c r="E201" s="9">
        <v>1</v>
      </c>
      <c r="F201" s="10" t="s">
        <v>17</v>
      </c>
      <c r="G201" s="10" t="s">
        <v>17</v>
      </c>
    </row>
    <row r="202" spans="1:7" x14ac:dyDescent="0.25">
      <c r="A202" s="6" t="s">
        <v>72</v>
      </c>
      <c r="B202" s="7" t="s">
        <v>286</v>
      </c>
      <c r="C202" s="8">
        <v>0</v>
      </c>
      <c r="D202" s="8">
        <v>0</v>
      </c>
      <c r="E202" s="9">
        <v>0</v>
      </c>
      <c r="F202" s="10" t="s">
        <v>17</v>
      </c>
      <c r="G202" s="10" t="s">
        <v>17</v>
      </c>
    </row>
    <row r="203" spans="1:7" x14ac:dyDescent="0.25">
      <c r="A203" s="6" t="s">
        <v>73</v>
      </c>
      <c r="B203" s="7" t="s">
        <v>210</v>
      </c>
      <c r="C203" s="8">
        <v>0</v>
      </c>
      <c r="D203" s="8">
        <v>0</v>
      </c>
      <c r="E203" s="9">
        <v>0</v>
      </c>
      <c r="F203" s="10" t="s">
        <v>17</v>
      </c>
      <c r="G203" s="10" t="s">
        <v>17</v>
      </c>
    </row>
    <row r="204" spans="1:7" x14ac:dyDescent="0.25">
      <c r="A204" s="6" t="s">
        <v>74</v>
      </c>
      <c r="B204" s="7" t="s">
        <v>219</v>
      </c>
      <c r="C204" s="8">
        <v>0</v>
      </c>
      <c r="D204" s="8">
        <v>0</v>
      </c>
      <c r="E204" s="9">
        <v>0</v>
      </c>
      <c r="F204" s="10" t="s">
        <v>17</v>
      </c>
      <c r="G204" s="10" t="s">
        <v>17</v>
      </c>
    </row>
    <row r="205" spans="1:7" x14ac:dyDescent="0.25">
      <c r="A205" s="6" t="s">
        <v>75</v>
      </c>
      <c r="B205" s="7" t="s">
        <v>262</v>
      </c>
      <c r="C205" s="8">
        <v>0</v>
      </c>
      <c r="D205" s="8">
        <v>0</v>
      </c>
      <c r="E205" s="9">
        <v>0</v>
      </c>
      <c r="F205" s="10" t="s">
        <v>17</v>
      </c>
      <c r="G205" s="10" t="s">
        <v>17</v>
      </c>
    </row>
    <row r="206" spans="1:7" x14ac:dyDescent="0.25">
      <c r="A206" s="6" t="s">
        <v>76</v>
      </c>
      <c r="B206" s="7" t="s">
        <v>282</v>
      </c>
      <c r="C206" s="8">
        <v>0</v>
      </c>
      <c r="D206" s="8">
        <v>0</v>
      </c>
      <c r="E206" s="9">
        <v>0</v>
      </c>
      <c r="F206" s="10" t="s">
        <v>17</v>
      </c>
      <c r="G206" s="10" t="s">
        <v>17</v>
      </c>
    </row>
    <row r="207" spans="1:7" x14ac:dyDescent="0.25">
      <c r="A207" s="6" t="s">
        <v>77</v>
      </c>
      <c r="B207" s="7" t="s">
        <v>229</v>
      </c>
      <c r="C207" s="8">
        <v>0</v>
      </c>
      <c r="D207" s="8">
        <v>0</v>
      </c>
      <c r="E207" s="9">
        <v>0</v>
      </c>
      <c r="F207" s="10" t="s">
        <v>17</v>
      </c>
      <c r="G207" s="10" t="s">
        <v>17</v>
      </c>
    </row>
    <row r="208" spans="1:7" x14ac:dyDescent="0.25">
      <c r="A208" s="6" t="s">
        <v>78</v>
      </c>
      <c r="B208" s="7" t="s">
        <v>221</v>
      </c>
      <c r="C208" s="8">
        <v>0</v>
      </c>
      <c r="D208" s="8">
        <v>0</v>
      </c>
      <c r="E208" s="9">
        <v>0</v>
      </c>
      <c r="F208" s="10" t="s">
        <v>17</v>
      </c>
      <c r="G208" s="10" t="s">
        <v>17</v>
      </c>
    </row>
    <row r="209" spans="2:5" x14ac:dyDescent="0.25">
      <c r="C209" s="8"/>
      <c r="D209" s="8"/>
      <c r="E209" s="9"/>
    </row>
    <row r="214" spans="2:5" x14ac:dyDescent="0.25">
      <c r="B214" s="20" t="s">
        <v>273</v>
      </c>
      <c r="C214" s="21">
        <f>SUM(C2:C146)</f>
        <v>91376140.703999951</v>
      </c>
      <c r="D214" s="21">
        <f>SUM(D2:D146)</f>
        <v>26184079.84999999</v>
      </c>
      <c r="E214" s="22">
        <f>(D214 / C214)</f>
        <v>0.28655270017169582</v>
      </c>
    </row>
    <row r="218" spans="2:5" x14ac:dyDescent="0.25">
      <c r="B218" s="20" t="s">
        <v>272</v>
      </c>
      <c r="C218" s="21">
        <f>SUM(C147:C212)</f>
        <v>11487176.970999997</v>
      </c>
      <c r="D218" s="21">
        <f>SUM(D147:D212)</f>
        <v>7356152.0200000005</v>
      </c>
      <c r="E218" s="22">
        <f>(D218 / C218)</f>
        <v>0.64037944558275772</v>
      </c>
    </row>
    <row r="222" spans="2:5" x14ac:dyDescent="0.25">
      <c r="B222" s="20" t="s">
        <v>274</v>
      </c>
      <c r="C222" s="21">
        <f>SUM(C2:C218) / 2</f>
        <v>102863317.67499995</v>
      </c>
      <c r="D222" s="21">
        <f>SUM(D2:D218) / 2</f>
        <v>33540231.870000001</v>
      </c>
      <c r="E222" s="22">
        <f>(D222 / C222)</f>
        <v>0.32606601291989695</v>
      </c>
    </row>
  </sheetData>
  <pageMargins left="0.7" right="0.7" top="0.75" bottom="0.75" header="0.3" footer="0.3"/>
  <pageSetup orientation="landscape" r:id="rId1"/>
  <headerFooter>
    <oddHeader>&amp;R&amp;B&amp;12As of &amp;D&amp;C&amp;B&amp;12Sunset West Daily Cash Percentage Report</oddHeader>
    <oddFooter>&amp;C&amp;B&amp;12&amp;P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B371C-7766-465F-9767-F450EC404DA7}">
  <dimension ref="A1:G222"/>
  <sheetViews>
    <sheetView workbookViewId="0">
      <selection activeCell="F13" sqref="F13"/>
    </sheetView>
  </sheetViews>
  <sheetFormatPr defaultRowHeight="15.75" x14ac:dyDescent="0.25"/>
  <cols>
    <col min="1" max="1" width="5" style="10" bestFit="1" customWidth="1"/>
    <col min="2" max="2" width="26.28515625" style="7" customWidth="1"/>
    <col min="3" max="3" width="15.140625" style="10" customWidth="1"/>
    <col min="4" max="4" width="14" style="10" customWidth="1"/>
    <col min="5" max="5" width="9.140625" style="10"/>
    <col min="6" max="6" width="9.7109375" style="10" customWidth="1"/>
    <col min="7" max="7" width="10.42578125" style="10" customWidth="1"/>
    <col min="8" max="16384" width="9.140625" style="1"/>
  </cols>
  <sheetData>
    <row r="1" spans="1:7" ht="31.5" x14ac:dyDescent="0.25">
      <c r="A1" s="18"/>
      <c r="B1" s="2" t="s">
        <v>157</v>
      </c>
      <c r="C1" s="3" t="s">
        <v>158</v>
      </c>
      <c r="D1" s="3" t="s">
        <v>159</v>
      </c>
      <c r="E1" s="4" t="s">
        <v>160</v>
      </c>
      <c r="F1" s="5" t="s">
        <v>161</v>
      </c>
      <c r="G1" s="5" t="s">
        <v>162</v>
      </c>
    </row>
    <row r="2" spans="1:7" x14ac:dyDescent="0.25">
      <c r="A2" s="6" t="s">
        <v>18</v>
      </c>
      <c r="B2" s="7" t="s">
        <v>163</v>
      </c>
      <c r="C2" s="8">
        <v>5038802.2</v>
      </c>
      <c r="D2" s="8">
        <v>1020176.98</v>
      </c>
      <c r="E2" s="9">
        <v>0.20246418484139</v>
      </c>
      <c r="F2" s="10" t="s">
        <v>0</v>
      </c>
      <c r="G2" s="11">
        <f>(D2 / F2)</f>
        <v>75.568665185185182</v>
      </c>
    </row>
    <row r="3" spans="1:7" x14ac:dyDescent="0.25">
      <c r="A3" s="6" t="s">
        <v>19</v>
      </c>
      <c r="B3" s="7" t="s">
        <v>297</v>
      </c>
      <c r="C3" s="8">
        <v>4925068.3899999997</v>
      </c>
      <c r="D3" s="8">
        <v>4925068.3899999997</v>
      </c>
      <c r="E3" s="9">
        <v>1</v>
      </c>
      <c r="F3" s="10" t="s">
        <v>17</v>
      </c>
      <c r="G3" s="10" t="s">
        <v>17</v>
      </c>
    </row>
    <row r="4" spans="1:7" x14ac:dyDescent="0.25">
      <c r="A4" s="6" t="s">
        <v>20</v>
      </c>
      <c r="B4" s="7" t="s">
        <v>168</v>
      </c>
      <c r="C4" s="8">
        <v>4304290.41</v>
      </c>
      <c r="D4" s="8">
        <v>1383849.46</v>
      </c>
      <c r="E4" s="9">
        <v>0.32150466817595602</v>
      </c>
      <c r="F4" s="10" t="s">
        <v>17</v>
      </c>
      <c r="G4" s="10" t="s">
        <v>17</v>
      </c>
    </row>
    <row r="5" spans="1:7" x14ac:dyDescent="0.25">
      <c r="A5" s="6" t="s">
        <v>21</v>
      </c>
      <c r="B5" s="7" t="s">
        <v>165</v>
      </c>
      <c r="C5" s="8">
        <v>3349851.1675</v>
      </c>
      <c r="D5" s="8">
        <v>696819.88</v>
      </c>
      <c r="E5" s="9">
        <v>0.20801517594587299</v>
      </c>
      <c r="F5" s="10" t="s">
        <v>17</v>
      </c>
      <c r="G5" s="10" t="s">
        <v>17</v>
      </c>
    </row>
    <row r="6" spans="1:7" x14ac:dyDescent="0.25">
      <c r="A6" s="6" t="s">
        <v>22</v>
      </c>
      <c r="B6" s="7" t="s">
        <v>166</v>
      </c>
      <c r="C6" s="8">
        <v>2970017.78</v>
      </c>
      <c r="D6" s="8">
        <v>504270.06</v>
      </c>
      <c r="E6" s="9">
        <v>0.169786882555296</v>
      </c>
      <c r="F6" s="10" t="s">
        <v>17</v>
      </c>
      <c r="G6" s="10" t="s">
        <v>17</v>
      </c>
    </row>
    <row r="7" spans="1:7" x14ac:dyDescent="0.25">
      <c r="A7" s="6" t="s">
        <v>23</v>
      </c>
      <c r="B7" s="7" t="s">
        <v>164</v>
      </c>
      <c r="C7" s="8">
        <v>2960461.23</v>
      </c>
      <c r="D7" s="8">
        <v>557658.21</v>
      </c>
      <c r="E7" s="9">
        <v>0.188368692131124</v>
      </c>
      <c r="F7" s="10" t="s">
        <v>1</v>
      </c>
      <c r="G7" s="11">
        <f>(D7 / F7)</f>
        <v>60.418007583965327</v>
      </c>
    </row>
    <row r="8" spans="1:7" x14ac:dyDescent="0.25">
      <c r="A8" s="6" t="s">
        <v>24</v>
      </c>
      <c r="B8" s="7" t="s">
        <v>167</v>
      </c>
      <c r="C8" s="8">
        <v>2591148.9</v>
      </c>
      <c r="D8" s="8">
        <v>1100481.08</v>
      </c>
      <c r="E8" s="9">
        <v>0.424707773451383</v>
      </c>
      <c r="F8" s="10" t="s">
        <v>2</v>
      </c>
      <c r="G8" s="11">
        <f>(D8 / F8)</f>
        <v>428.53624610591902</v>
      </c>
    </row>
    <row r="9" spans="1:7" x14ac:dyDescent="0.25">
      <c r="A9" s="6" t="s">
        <v>25</v>
      </c>
      <c r="B9" s="7" t="s">
        <v>169</v>
      </c>
      <c r="C9" s="8">
        <v>2297592.86</v>
      </c>
      <c r="D9" s="8">
        <v>349842.6</v>
      </c>
      <c r="E9" s="9">
        <v>0.15226483599013299</v>
      </c>
      <c r="F9" s="10" t="s">
        <v>293</v>
      </c>
      <c r="G9" s="11">
        <f>(D9 / F9)</f>
        <v>36.825536842105258</v>
      </c>
    </row>
    <row r="10" spans="1:7" x14ac:dyDescent="0.25">
      <c r="A10" s="6" t="s">
        <v>26</v>
      </c>
      <c r="B10" s="7" t="s">
        <v>170</v>
      </c>
      <c r="C10" s="8">
        <v>2128935.39</v>
      </c>
      <c r="D10" s="8">
        <v>298828.01</v>
      </c>
      <c r="E10" s="9">
        <v>0.14036499717354001</v>
      </c>
      <c r="F10" s="10" t="s">
        <v>3</v>
      </c>
      <c r="G10" s="11">
        <f>(D10 / F10)</f>
        <v>37.353501250000001</v>
      </c>
    </row>
    <row r="11" spans="1:7" x14ac:dyDescent="0.25">
      <c r="A11" s="6" t="s">
        <v>27</v>
      </c>
      <c r="B11" s="7" t="s">
        <v>171</v>
      </c>
      <c r="C11" s="8">
        <v>2019156.44</v>
      </c>
      <c r="D11" s="8">
        <v>311666.53000000003</v>
      </c>
      <c r="E11" s="9">
        <v>0.154354820570515</v>
      </c>
      <c r="F11" s="10" t="s">
        <v>17</v>
      </c>
      <c r="G11" s="10" t="s">
        <v>17</v>
      </c>
    </row>
    <row r="12" spans="1:7" x14ac:dyDescent="0.25">
      <c r="A12" s="6" t="s">
        <v>28</v>
      </c>
      <c r="B12" s="7" t="s">
        <v>172</v>
      </c>
      <c r="C12" s="8">
        <v>1920262.87</v>
      </c>
      <c r="D12" s="8">
        <v>386883.36</v>
      </c>
      <c r="E12" s="9">
        <v>0.20147416587813299</v>
      </c>
      <c r="F12" s="10" t="s">
        <v>17</v>
      </c>
      <c r="G12" s="10" t="s">
        <v>17</v>
      </c>
    </row>
    <row r="13" spans="1:7" x14ac:dyDescent="0.25">
      <c r="A13" s="6" t="s">
        <v>29</v>
      </c>
      <c r="B13" s="7" t="s">
        <v>316</v>
      </c>
      <c r="C13" s="8">
        <v>1905140.3141999999</v>
      </c>
      <c r="D13" s="8">
        <v>990960.62</v>
      </c>
      <c r="E13" s="9">
        <v>0.520150989727033</v>
      </c>
      <c r="F13" s="10" t="s">
        <v>17</v>
      </c>
      <c r="G13" s="10" t="s">
        <v>17</v>
      </c>
    </row>
    <row r="14" spans="1:7" x14ac:dyDescent="0.25">
      <c r="A14" s="6" t="s">
        <v>30</v>
      </c>
      <c r="B14" s="7" t="s">
        <v>173</v>
      </c>
      <c r="C14" s="8">
        <v>1847265.18</v>
      </c>
      <c r="D14" s="8">
        <v>333100.45</v>
      </c>
      <c r="E14" s="9">
        <v>0.18032086221643601</v>
      </c>
      <c r="F14" s="10" t="s">
        <v>4</v>
      </c>
      <c r="G14" s="11">
        <f>(D14 / F14)</f>
        <v>55.516741666666668</v>
      </c>
    </row>
    <row r="15" spans="1:7" x14ac:dyDescent="0.25">
      <c r="A15" s="6" t="s">
        <v>31</v>
      </c>
      <c r="B15" s="7" t="s">
        <v>299</v>
      </c>
      <c r="C15" s="8">
        <v>1726625.31</v>
      </c>
      <c r="D15" s="8">
        <v>1155326.71</v>
      </c>
      <c r="E15" s="9">
        <v>0.66912415989083396</v>
      </c>
      <c r="F15" s="10" t="s">
        <v>17</v>
      </c>
      <c r="G15" s="10" t="s">
        <v>17</v>
      </c>
    </row>
    <row r="16" spans="1:7" x14ac:dyDescent="0.25">
      <c r="A16" s="6" t="s">
        <v>32</v>
      </c>
      <c r="B16" s="7" t="s">
        <v>175</v>
      </c>
      <c r="C16" s="8">
        <v>1351404.1</v>
      </c>
      <c r="D16" s="8">
        <v>275292.24</v>
      </c>
      <c r="E16" s="9">
        <v>0.203708306049982</v>
      </c>
      <c r="F16" s="10" t="s">
        <v>17</v>
      </c>
      <c r="G16" s="10" t="s">
        <v>17</v>
      </c>
    </row>
    <row r="17" spans="1:7" x14ac:dyDescent="0.25">
      <c r="A17" s="6" t="s">
        <v>33</v>
      </c>
      <c r="B17" s="7" t="s">
        <v>296</v>
      </c>
      <c r="C17" s="8">
        <v>1250860.8999999999</v>
      </c>
      <c r="D17" s="8">
        <v>127242.55</v>
      </c>
      <c r="E17" s="9">
        <v>0.10172398066004</v>
      </c>
      <c r="F17" s="10" t="s">
        <v>17</v>
      </c>
      <c r="G17" s="10" t="s">
        <v>17</v>
      </c>
    </row>
    <row r="18" spans="1:7" x14ac:dyDescent="0.25">
      <c r="A18" s="6" t="s">
        <v>34</v>
      </c>
      <c r="B18" s="7" t="s">
        <v>176</v>
      </c>
      <c r="C18" s="8">
        <v>1244447.5900000001</v>
      </c>
      <c r="D18" s="8">
        <v>303902.09999999998</v>
      </c>
      <c r="E18" s="9">
        <v>0.244206427367504</v>
      </c>
      <c r="F18" s="10" t="s">
        <v>17</v>
      </c>
      <c r="G18" s="10" t="s">
        <v>17</v>
      </c>
    </row>
    <row r="19" spans="1:7" x14ac:dyDescent="0.25">
      <c r="A19" s="6" t="s">
        <v>35</v>
      </c>
      <c r="B19" s="7" t="s">
        <v>177</v>
      </c>
      <c r="C19" s="8">
        <v>1242805.43</v>
      </c>
      <c r="D19" s="8">
        <v>266761.74</v>
      </c>
      <c r="E19" s="9">
        <v>0.21464481370989799</v>
      </c>
      <c r="F19" s="10" t="s">
        <v>5</v>
      </c>
      <c r="G19" s="11">
        <f>(D19 / F19)</f>
        <v>118.56077333333333</v>
      </c>
    </row>
    <row r="20" spans="1:7" x14ac:dyDescent="0.25">
      <c r="A20" s="6" t="s">
        <v>36</v>
      </c>
      <c r="B20" s="7" t="s">
        <v>178</v>
      </c>
      <c r="C20" s="8">
        <v>1242216.7</v>
      </c>
      <c r="D20" s="8">
        <v>265399.96999999997</v>
      </c>
      <c r="E20" s="9">
        <v>0.21365029950088399</v>
      </c>
      <c r="F20" s="10" t="s">
        <v>17</v>
      </c>
      <c r="G20" s="10" t="s">
        <v>17</v>
      </c>
    </row>
    <row r="21" spans="1:7" x14ac:dyDescent="0.25">
      <c r="A21" s="6" t="s">
        <v>37</v>
      </c>
      <c r="B21" s="7" t="s">
        <v>182</v>
      </c>
      <c r="C21" s="8">
        <v>1231668.8899999999</v>
      </c>
      <c r="D21" s="8">
        <v>38323.300000000003</v>
      </c>
      <c r="E21" s="9">
        <v>3.11149370672178E-2</v>
      </c>
      <c r="F21" s="10" t="s">
        <v>17</v>
      </c>
      <c r="G21" s="10" t="s">
        <v>17</v>
      </c>
    </row>
    <row r="22" spans="1:7" x14ac:dyDescent="0.25">
      <c r="A22" s="6" t="s">
        <v>38</v>
      </c>
      <c r="B22" s="7" t="s">
        <v>184</v>
      </c>
      <c r="C22" s="8">
        <v>1149019.97</v>
      </c>
      <c r="D22" s="8">
        <v>116128.63</v>
      </c>
      <c r="E22" s="9">
        <v>0.10106754715499</v>
      </c>
      <c r="F22" s="10" t="s">
        <v>17</v>
      </c>
      <c r="G22" s="10" t="s">
        <v>17</v>
      </c>
    </row>
    <row r="23" spans="1:7" x14ac:dyDescent="0.25">
      <c r="A23" s="6" t="s">
        <v>39</v>
      </c>
      <c r="B23" s="7" t="s">
        <v>180</v>
      </c>
      <c r="C23" s="8">
        <v>1142966.67</v>
      </c>
      <c r="D23" s="8">
        <v>297539.57</v>
      </c>
      <c r="E23" s="9">
        <v>0.26032217544891301</v>
      </c>
      <c r="F23" s="10" t="s">
        <v>17</v>
      </c>
      <c r="G23" s="10" t="s">
        <v>17</v>
      </c>
    </row>
    <row r="24" spans="1:7" x14ac:dyDescent="0.25">
      <c r="A24" s="6" t="s">
        <v>40</v>
      </c>
      <c r="B24" s="7" t="s">
        <v>186</v>
      </c>
      <c r="C24" s="8">
        <v>1142800.08</v>
      </c>
      <c r="D24" s="8">
        <v>22390.12</v>
      </c>
      <c r="E24" s="9">
        <v>1.9592333245198899E-2</v>
      </c>
      <c r="F24" s="10" t="s">
        <v>17</v>
      </c>
      <c r="G24" s="10" t="s">
        <v>17</v>
      </c>
    </row>
    <row r="25" spans="1:7" x14ac:dyDescent="0.25">
      <c r="A25" s="6" t="s">
        <v>41</v>
      </c>
      <c r="B25" s="7" t="s">
        <v>189</v>
      </c>
      <c r="C25" s="8">
        <v>1133366.96</v>
      </c>
      <c r="D25" s="8">
        <v>291634.84999999998</v>
      </c>
      <c r="E25" s="9">
        <v>0.25731723289339598</v>
      </c>
      <c r="F25" s="10" t="s">
        <v>17</v>
      </c>
      <c r="G25" s="10" t="s">
        <v>17</v>
      </c>
    </row>
    <row r="26" spans="1:7" x14ac:dyDescent="0.25">
      <c r="A26" s="6" t="s">
        <v>42</v>
      </c>
      <c r="B26" s="7" t="s">
        <v>179</v>
      </c>
      <c r="C26" s="8">
        <v>1128427.3799999999</v>
      </c>
      <c r="D26" s="8">
        <v>247220.14</v>
      </c>
      <c r="E26" s="9">
        <v>0.21908378366359699</v>
      </c>
      <c r="F26" s="10" t="s">
        <v>4</v>
      </c>
      <c r="G26" s="11">
        <f>(D26 / F26)</f>
        <v>41.203356666666672</v>
      </c>
    </row>
    <row r="27" spans="1:7" x14ac:dyDescent="0.25">
      <c r="A27" s="12" t="s">
        <v>43</v>
      </c>
      <c r="B27" s="13" t="s">
        <v>181</v>
      </c>
      <c r="C27" s="14">
        <v>1029648.3778</v>
      </c>
      <c r="D27" s="14">
        <v>226442.77</v>
      </c>
      <c r="E27" s="15">
        <v>0.21992242680343899</v>
      </c>
      <c r="F27" s="16" t="s">
        <v>6</v>
      </c>
      <c r="G27" s="17">
        <f>(D27 / F27)</f>
        <v>22.644276999999999</v>
      </c>
    </row>
    <row r="28" spans="1:7" x14ac:dyDescent="0.25">
      <c r="A28" s="6" t="s">
        <v>44</v>
      </c>
      <c r="B28" s="7" t="s">
        <v>225</v>
      </c>
      <c r="C28" s="8">
        <v>1026901.16</v>
      </c>
      <c r="D28" s="8">
        <v>797003.94</v>
      </c>
      <c r="E28" s="9">
        <v>0.77612526993347597</v>
      </c>
      <c r="F28" s="10" t="s">
        <v>12</v>
      </c>
      <c r="G28" s="11">
        <f>(D28 / F28)</f>
        <v>177.11198666666667</v>
      </c>
    </row>
    <row r="29" spans="1:7" x14ac:dyDescent="0.25">
      <c r="A29" s="6" t="s">
        <v>45</v>
      </c>
      <c r="B29" s="7" t="s">
        <v>206</v>
      </c>
      <c r="C29" s="8">
        <v>1014559.49</v>
      </c>
      <c r="D29" s="8">
        <v>416469.33</v>
      </c>
      <c r="E29" s="9">
        <v>0.41049276469731699</v>
      </c>
      <c r="F29" s="10" t="s">
        <v>17</v>
      </c>
      <c r="G29" s="10" t="s">
        <v>17</v>
      </c>
    </row>
    <row r="30" spans="1:7" x14ac:dyDescent="0.25">
      <c r="A30" s="6" t="s">
        <v>46</v>
      </c>
      <c r="B30" s="7" t="s">
        <v>300</v>
      </c>
      <c r="C30" s="8">
        <v>995890.5</v>
      </c>
      <c r="D30" s="8">
        <v>234093.93</v>
      </c>
      <c r="E30" s="9">
        <v>0.23505990869478099</v>
      </c>
      <c r="F30" s="10" t="s">
        <v>17</v>
      </c>
      <c r="G30" s="10" t="s">
        <v>17</v>
      </c>
    </row>
    <row r="31" spans="1:7" x14ac:dyDescent="0.25">
      <c r="A31" s="6" t="s">
        <v>47</v>
      </c>
      <c r="B31" s="7" t="s">
        <v>187</v>
      </c>
      <c r="C31" s="8">
        <v>963952.8</v>
      </c>
      <c r="D31" s="8">
        <v>191271.02</v>
      </c>
      <c r="E31" s="9">
        <v>0.198423636510003</v>
      </c>
      <c r="F31" s="10" t="s">
        <v>17</v>
      </c>
      <c r="G31" s="10" t="s">
        <v>17</v>
      </c>
    </row>
    <row r="32" spans="1:7" x14ac:dyDescent="0.25">
      <c r="A32" s="6" t="s">
        <v>48</v>
      </c>
      <c r="B32" s="7" t="s">
        <v>188</v>
      </c>
      <c r="C32" s="8">
        <v>962469.61</v>
      </c>
      <c r="D32" s="8">
        <v>174220.26</v>
      </c>
      <c r="E32" s="9">
        <v>0.18101377767137999</v>
      </c>
      <c r="F32" s="10" t="s">
        <v>17</v>
      </c>
      <c r="G32" s="10" t="s">
        <v>17</v>
      </c>
    </row>
    <row r="33" spans="1:7" x14ac:dyDescent="0.25">
      <c r="A33" s="6" t="s">
        <v>49</v>
      </c>
      <c r="B33" s="7" t="s">
        <v>199</v>
      </c>
      <c r="C33" s="8">
        <v>929938.79</v>
      </c>
      <c r="D33" s="8">
        <v>300511.78000000003</v>
      </c>
      <c r="E33" s="9">
        <v>0.323152215211928</v>
      </c>
      <c r="F33" s="10" t="s">
        <v>12</v>
      </c>
      <c r="G33" s="11">
        <f>(D33 / F33)</f>
        <v>66.780395555555558</v>
      </c>
    </row>
    <row r="34" spans="1:7" x14ac:dyDescent="0.25">
      <c r="A34" s="6" t="s">
        <v>50</v>
      </c>
      <c r="B34" s="7" t="s">
        <v>174</v>
      </c>
      <c r="C34" s="8">
        <v>927939.29</v>
      </c>
      <c r="D34" s="8">
        <v>796752.66</v>
      </c>
      <c r="E34" s="9">
        <v>0.85862584824918897</v>
      </c>
      <c r="F34" s="10" t="s">
        <v>17</v>
      </c>
      <c r="G34" s="10" t="s">
        <v>17</v>
      </c>
    </row>
    <row r="35" spans="1:7" x14ac:dyDescent="0.25">
      <c r="A35" s="6" t="s">
        <v>51</v>
      </c>
      <c r="B35" s="7" t="s">
        <v>185</v>
      </c>
      <c r="C35" s="8">
        <v>914759.93</v>
      </c>
      <c r="D35" s="8">
        <v>206035.25</v>
      </c>
      <c r="E35" s="9">
        <v>0.225234231674315</v>
      </c>
      <c r="F35" s="10" t="s">
        <v>7</v>
      </c>
      <c r="G35" s="11">
        <f>(D35 / F35)</f>
        <v>58.867214285714283</v>
      </c>
    </row>
    <row r="36" spans="1:7" x14ac:dyDescent="0.25">
      <c r="A36" s="6" t="s">
        <v>52</v>
      </c>
      <c r="B36" s="7" t="s">
        <v>190</v>
      </c>
      <c r="C36" s="8">
        <v>895375.55</v>
      </c>
      <c r="D36" s="8">
        <v>247884.61</v>
      </c>
      <c r="E36" s="9">
        <v>0.276849876010128</v>
      </c>
      <c r="F36" s="10" t="s">
        <v>17</v>
      </c>
      <c r="G36" s="10" t="s">
        <v>17</v>
      </c>
    </row>
    <row r="37" spans="1:7" x14ac:dyDescent="0.25">
      <c r="A37" s="6" t="s">
        <v>53</v>
      </c>
      <c r="B37" s="7" t="s">
        <v>194</v>
      </c>
      <c r="C37" s="8">
        <v>861412.02</v>
      </c>
      <c r="D37" s="8">
        <v>161862.53</v>
      </c>
      <c r="E37" s="9">
        <v>0.187903728113754</v>
      </c>
      <c r="F37" s="10" t="s">
        <v>10</v>
      </c>
      <c r="G37" s="11">
        <f>(D37 / F37)</f>
        <v>323.72505999999998</v>
      </c>
    </row>
    <row r="38" spans="1:7" x14ac:dyDescent="0.25">
      <c r="A38" s="6" t="s">
        <v>54</v>
      </c>
      <c r="B38" s="7" t="s">
        <v>192</v>
      </c>
      <c r="C38" s="8">
        <v>848426.77</v>
      </c>
      <c r="D38" s="8">
        <v>179640.43</v>
      </c>
      <c r="E38" s="9">
        <v>0.21173357130162199</v>
      </c>
      <c r="F38" s="10" t="s">
        <v>17</v>
      </c>
      <c r="G38" s="10" t="s">
        <v>17</v>
      </c>
    </row>
    <row r="39" spans="1:7" x14ac:dyDescent="0.25">
      <c r="A39" s="6" t="s">
        <v>55</v>
      </c>
      <c r="B39" s="7" t="s">
        <v>193</v>
      </c>
      <c r="C39" s="8">
        <v>826333.24</v>
      </c>
      <c r="D39" s="8">
        <v>153354.26999999999</v>
      </c>
      <c r="E39" s="9">
        <v>0.185584050812236</v>
      </c>
      <c r="F39" s="10" t="s">
        <v>9</v>
      </c>
      <c r="G39" s="11">
        <f>(D39 / F39)</f>
        <v>60.1389294117647</v>
      </c>
    </row>
    <row r="40" spans="1:7" x14ac:dyDescent="0.25">
      <c r="A40" s="6" t="s">
        <v>56</v>
      </c>
      <c r="B40" s="7" t="s">
        <v>191</v>
      </c>
      <c r="C40" s="8">
        <v>812936.6</v>
      </c>
      <c r="D40" s="8">
        <v>171858.07</v>
      </c>
      <c r="E40" s="9">
        <v>0.211404025849002</v>
      </c>
      <c r="F40" s="10" t="s">
        <v>8</v>
      </c>
      <c r="G40" s="11">
        <f>(D40 / F40)</f>
        <v>63.651137037037039</v>
      </c>
    </row>
    <row r="41" spans="1:7" x14ac:dyDescent="0.25">
      <c r="A41" s="6" t="s">
        <v>57</v>
      </c>
      <c r="B41" s="7" t="s">
        <v>195</v>
      </c>
      <c r="C41" s="8">
        <v>809573.03</v>
      </c>
      <c r="D41" s="8">
        <v>193511.7</v>
      </c>
      <c r="E41" s="9">
        <v>0.23902933130072301</v>
      </c>
      <c r="F41" s="10" t="s">
        <v>17</v>
      </c>
      <c r="G41" s="10" t="s">
        <v>17</v>
      </c>
    </row>
    <row r="42" spans="1:7" x14ac:dyDescent="0.25">
      <c r="A42" s="6" t="s">
        <v>58</v>
      </c>
      <c r="B42" s="7" t="s">
        <v>301</v>
      </c>
      <c r="C42" s="8">
        <v>806292.11</v>
      </c>
      <c r="D42" s="8">
        <v>536682.57999999996</v>
      </c>
      <c r="E42" s="9">
        <v>0.66561804753366605</v>
      </c>
      <c r="F42" s="10" t="s">
        <v>17</v>
      </c>
      <c r="G42" s="10" t="s">
        <v>17</v>
      </c>
    </row>
    <row r="43" spans="1:7" x14ac:dyDescent="0.25">
      <c r="A43" s="6" t="s">
        <v>59</v>
      </c>
      <c r="B43" s="7" t="s">
        <v>219</v>
      </c>
      <c r="C43" s="8">
        <v>796601.57</v>
      </c>
      <c r="D43" s="8">
        <v>287960.81</v>
      </c>
      <c r="E43" s="9">
        <v>0.36148662122270198</v>
      </c>
      <c r="F43" s="10" t="s">
        <v>17</v>
      </c>
      <c r="G43" s="10" t="s">
        <v>17</v>
      </c>
    </row>
    <row r="44" spans="1:7" x14ac:dyDescent="0.25">
      <c r="A44" s="6" t="s">
        <v>60</v>
      </c>
      <c r="B44" s="7" t="s">
        <v>302</v>
      </c>
      <c r="C44" s="8">
        <v>759188.89</v>
      </c>
      <c r="D44" s="8">
        <v>406531.75</v>
      </c>
      <c r="E44" s="9">
        <v>0.53548169020228997</v>
      </c>
      <c r="F44" s="10" t="s">
        <v>17</v>
      </c>
      <c r="G44" s="10" t="s">
        <v>17</v>
      </c>
    </row>
    <row r="45" spans="1:7" x14ac:dyDescent="0.25">
      <c r="A45" s="6" t="s">
        <v>61</v>
      </c>
      <c r="B45" s="7" t="s">
        <v>252</v>
      </c>
      <c r="C45" s="8">
        <v>717806.99</v>
      </c>
      <c r="D45" s="8">
        <v>133878.43</v>
      </c>
      <c r="E45" s="9">
        <v>0.18651034590788801</v>
      </c>
      <c r="F45" s="10" t="s">
        <v>17</v>
      </c>
      <c r="G45" s="10" t="s">
        <v>17</v>
      </c>
    </row>
    <row r="46" spans="1:7" x14ac:dyDescent="0.25">
      <c r="A46" s="6" t="s">
        <v>62</v>
      </c>
      <c r="B46" s="7" t="s">
        <v>196</v>
      </c>
      <c r="C46" s="8">
        <v>716169.68</v>
      </c>
      <c r="D46" s="8">
        <v>93920.16</v>
      </c>
      <c r="E46" s="9">
        <v>0.13114232928710401</v>
      </c>
      <c r="F46" s="10" t="s">
        <v>17</v>
      </c>
      <c r="G46" s="10" t="s">
        <v>17</v>
      </c>
    </row>
    <row r="47" spans="1:7" x14ac:dyDescent="0.25">
      <c r="A47" s="6" t="s">
        <v>63</v>
      </c>
      <c r="B47" s="7" t="s">
        <v>198</v>
      </c>
      <c r="C47" s="8">
        <v>700395.24</v>
      </c>
      <c r="D47" s="8">
        <v>102232.32000000001</v>
      </c>
      <c r="E47" s="9">
        <v>0.145963756121472</v>
      </c>
      <c r="F47" s="10" t="s">
        <v>17</v>
      </c>
      <c r="G47" s="10" t="s">
        <v>17</v>
      </c>
    </row>
    <row r="48" spans="1:7" x14ac:dyDescent="0.25">
      <c r="A48" s="6" t="s">
        <v>64</v>
      </c>
      <c r="B48" s="7" t="s">
        <v>213</v>
      </c>
      <c r="C48" s="8">
        <v>641139.06999999995</v>
      </c>
      <c r="D48" s="8">
        <v>6653.02</v>
      </c>
      <c r="E48" s="9">
        <v>1.03768750202667E-2</v>
      </c>
      <c r="F48" s="10" t="s">
        <v>17</v>
      </c>
      <c r="G48" s="10" t="s">
        <v>17</v>
      </c>
    </row>
    <row r="49" spans="1:7" x14ac:dyDescent="0.25">
      <c r="A49" s="6" t="s">
        <v>65</v>
      </c>
      <c r="B49" s="7" t="s">
        <v>201</v>
      </c>
      <c r="C49" s="8">
        <v>636748.92000000004</v>
      </c>
      <c r="D49" s="8">
        <v>109224.7</v>
      </c>
      <c r="E49" s="9">
        <v>0.171534959179829</v>
      </c>
      <c r="F49" s="10" t="s">
        <v>13</v>
      </c>
      <c r="G49" s="11">
        <f>(D49 / F49)</f>
        <v>36.408233333333335</v>
      </c>
    </row>
    <row r="50" spans="1:7" x14ac:dyDescent="0.25">
      <c r="A50" s="6" t="s">
        <v>66</v>
      </c>
      <c r="B50" s="7" t="s">
        <v>197</v>
      </c>
      <c r="C50" s="8">
        <v>629413.18000000005</v>
      </c>
      <c r="D50" s="8">
        <v>152937.54999999999</v>
      </c>
      <c r="E50" s="9">
        <v>0.24298434614921799</v>
      </c>
      <c r="F50" s="10" t="s">
        <v>11</v>
      </c>
      <c r="G50" s="11">
        <f>(D50 / F50)</f>
        <v>40.638241053943382</v>
      </c>
    </row>
    <row r="51" spans="1:7" x14ac:dyDescent="0.25">
      <c r="A51" s="6" t="s">
        <v>67</v>
      </c>
      <c r="B51" s="7" t="s">
        <v>205</v>
      </c>
      <c r="C51" s="8">
        <v>597987.52</v>
      </c>
      <c r="D51" s="8">
        <v>86234.61</v>
      </c>
      <c r="E51" s="9">
        <v>0.144208043003974</v>
      </c>
      <c r="F51" s="10" t="s">
        <v>17</v>
      </c>
      <c r="G51" s="10" t="s">
        <v>17</v>
      </c>
    </row>
    <row r="52" spans="1:7" x14ac:dyDescent="0.25">
      <c r="A52" s="6" t="s">
        <v>68</v>
      </c>
      <c r="B52" s="7" t="s">
        <v>202</v>
      </c>
      <c r="C52" s="8">
        <v>568032.4</v>
      </c>
      <c r="D52" s="8">
        <v>115101.6</v>
      </c>
      <c r="E52" s="9">
        <v>0.202632103380018</v>
      </c>
      <c r="F52" s="10" t="s">
        <v>17</v>
      </c>
      <c r="G52" s="10" t="s">
        <v>17</v>
      </c>
    </row>
    <row r="53" spans="1:7" x14ac:dyDescent="0.25">
      <c r="A53" s="6" t="s">
        <v>69</v>
      </c>
      <c r="B53" s="7" t="s">
        <v>203</v>
      </c>
      <c r="C53" s="8">
        <v>556416.22</v>
      </c>
      <c r="D53" s="8">
        <v>61510.98</v>
      </c>
      <c r="E53" s="9">
        <v>0.11054850270180799</v>
      </c>
      <c r="F53" s="10" t="s">
        <v>17</v>
      </c>
      <c r="G53" s="10" t="s">
        <v>17</v>
      </c>
    </row>
    <row r="54" spans="1:7" x14ac:dyDescent="0.25">
      <c r="A54" s="6" t="s">
        <v>70</v>
      </c>
      <c r="B54" s="7" t="s">
        <v>204</v>
      </c>
      <c r="C54" s="8">
        <v>525875.26</v>
      </c>
      <c r="D54" s="8">
        <v>103820.23</v>
      </c>
      <c r="E54" s="9">
        <v>0.197423681806214</v>
      </c>
      <c r="F54" s="10" t="s">
        <v>17</v>
      </c>
      <c r="G54" s="10" t="s">
        <v>17</v>
      </c>
    </row>
    <row r="55" spans="1:7" x14ac:dyDescent="0.25">
      <c r="A55" s="6" t="s">
        <v>71</v>
      </c>
      <c r="B55" s="7" t="s">
        <v>237</v>
      </c>
      <c r="C55" s="8">
        <v>494252.47</v>
      </c>
      <c r="D55" s="8">
        <v>210840.23</v>
      </c>
      <c r="E55" s="9">
        <v>0.42658406947364402</v>
      </c>
      <c r="F55" s="10" t="s">
        <v>17</v>
      </c>
      <c r="G55" s="10" t="s">
        <v>17</v>
      </c>
    </row>
    <row r="56" spans="1:7" x14ac:dyDescent="0.25">
      <c r="A56" s="6" t="s">
        <v>72</v>
      </c>
      <c r="B56" s="7" t="s">
        <v>200</v>
      </c>
      <c r="C56" s="8">
        <v>473775.28</v>
      </c>
      <c r="D56" s="8">
        <v>95108.71</v>
      </c>
      <c r="E56" s="9">
        <v>0.200746459376268</v>
      </c>
      <c r="F56" s="10" t="s">
        <v>17</v>
      </c>
      <c r="G56" s="10" t="s">
        <v>17</v>
      </c>
    </row>
    <row r="57" spans="1:7" x14ac:dyDescent="0.25">
      <c r="A57" s="6" t="s">
        <v>73</v>
      </c>
      <c r="B57" s="7" t="s">
        <v>215</v>
      </c>
      <c r="C57" s="8">
        <v>468274.84</v>
      </c>
      <c r="D57" s="8">
        <v>72667.12</v>
      </c>
      <c r="E57" s="9">
        <v>0.15518049186669899</v>
      </c>
      <c r="F57" s="10" t="s">
        <v>17</v>
      </c>
      <c r="G57" s="10" t="s">
        <v>17</v>
      </c>
    </row>
    <row r="58" spans="1:7" x14ac:dyDescent="0.25">
      <c r="A58" s="6" t="s">
        <v>74</v>
      </c>
      <c r="B58" s="7" t="s">
        <v>208</v>
      </c>
      <c r="C58" s="8">
        <v>463882.58769999997</v>
      </c>
      <c r="D58" s="8">
        <v>94214.97</v>
      </c>
      <c r="E58" s="9">
        <v>0.203100897723133</v>
      </c>
      <c r="F58" s="10" t="s">
        <v>14</v>
      </c>
      <c r="G58" s="11">
        <f>(D58 / F58)</f>
        <v>37.685988000000002</v>
      </c>
    </row>
    <row r="59" spans="1:7" x14ac:dyDescent="0.25">
      <c r="A59" s="6" t="s">
        <v>75</v>
      </c>
      <c r="B59" s="7" t="s">
        <v>207</v>
      </c>
      <c r="C59" s="8">
        <v>462081.23</v>
      </c>
      <c r="D59" s="8">
        <v>137216.39000000001</v>
      </c>
      <c r="E59" s="9">
        <v>0.29695296214477301</v>
      </c>
      <c r="F59" s="10" t="s">
        <v>17</v>
      </c>
      <c r="G59" s="10" t="s">
        <v>17</v>
      </c>
    </row>
    <row r="60" spans="1:7" x14ac:dyDescent="0.25">
      <c r="A60" s="6" t="s">
        <v>76</v>
      </c>
      <c r="B60" s="7" t="s">
        <v>221</v>
      </c>
      <c r="C60" s="8">
        <v>458171.02</v>
      </c>
      <c r="D60" s="8">
        <v>154468.48000000001</v>
      </c>
      <c r="E60" s="9">
        <v>0.33714153287128501</v>
      </c>
      <c r="F60" s="10" t="s">
        <v>17</v>
      </c>
      <c r="G60" s="10" t="s">
        <v>17</v>
      </c>
    </row>
    <row r="61" spans="1:7" x14ac:dyDescent="0.25">
      <c r="A61" s="6" t="s">
        <v>77</v>
      </c>
      <c r="B61" s="7" t="s">
        <v>250</v>
      </c>
      <c r="C61" s="8">
        <v>440676.45</v>
      </c>
      <c r="D61" s="8">
        <v>214529.07</v>
      </c>
      <c r="E61" s="9">
        <v>0.48681764137838501</v>
      </c>
      <c r="F61" s="10" t="s">
        <v>17</v>
      </c>
      <c r="G61" s="10" t="s">
        <v>17</v>
      </c>
    </row>
    <row r="62" spans="1:7" x14ac:dyDescent="0.25">
      <c r="A62" s="6" t="s">
        <v>78</v>
      </c>
      <c r="B62" s="7" t="s">
        <v>223</v>
      </c>
      <c r="C62" s="8">
        <v>434929.4</v>
      </c>
      <c r="D62" s="8">
        <v>56714.67</v>
      </c>
      <c r="E62" s="9">
        <v>0.13039971544807</v>
      </c>
      <c r="F62" s="10" t="s">
        <v>17</v>
      </c>
      <c r="G62" s="10" t="s">
        <v>17</v>
      </c>
    </row>
    <row r="63" spans="1:7" x14ac:dyDescent="0.25">
      <c r="A63" s="6" t="s">
        <v>79</v>
      </c>
      <c r="B63" s="7" t="s">
        <v>214</v>
      </c>
      <c r="C63" s="8">
        <v>415380.66</v>
      </c>
      <c r="D63" s="8">
        <v>18946.169999999998</v>
      </c>
      <c r="E63" s="9">
        <v>4.5611584323641798E-2</v>
      </c>
      <c r="F63" s="10" t="s">
        <v>17</v>
      </c>
      <c r="G63" s="10" t="s">
        <v>17</v>
      </c>
    </row>
    <row r="64" spans="1:7" x14ac:dyDescent="0.25">
      <c r="A64" s="6" t="s">
        <v>80</v>
      </c>
      <c r="B64" s="7" t="s">
        <v>211</v>
      </c>
      <c r="C64" s="8">
        <v>412113.25</v>
      </c>
      <c r="D64" s="8">
        <v>61714.31</v>
      </c>
      <c r="E64" s="9">
        <v>0.149750851252659</v>
      </c>
      <c r="F64" s="10" t="s">
        <v>17</v>
      </c>
      <c r="G64" s="10" t="s">
        <v>17</v>
      </c>
    </row>
    <row r="65" spans="1:7" x14ac:dyDescent="0.25">
      <c r="A65" s="6" t="s">
        <v>81</v>
      </c>
      <c r="B65" s="7" t="s">
        <v>209</v>
      </c>
      <c r="C65" s="8">
        <v>404051.36</v>
      </c>
      <c r="D65" s="8">
        <v>67372.509999999995</v>
      </c>
      <c r="E65" s="9">
        <v>0.16674244086197401</v>
      </c>
      <c r="F65" s="10" t="s">
        <v>17</v>
      </c>
      <c r="G65" s="10" t="s">
        <v>17</v>
      </c>
    </row>
    <row r="66" spans="1:7" x14ac:dyDescent="0.25">
      <c r="A66" s="6" t="s">
        <v>82</v>
      </c>
      <c r="B66" s="7" t="s">
        <v>304</v>
      </c>
      <c r="C66" s="8">
        <v>403419.61</v>
      </c>
      <c r="D66" s="8">
        <v>75488.899999999994</v>
      </c>
      <c r="E66" s="9">
        <v>0.187122534772169</v>
      </c>
      <c r="F66" s="10" t="s">
        <v>17</v>
      </c>
      <c r="G66" s="10" t="s">
        <v>17</v>
      </c>
    </row>
    <row r="67" spans="1:7" x14ac:dyDescent="0.25">
      <c r="A67" s="6" t="s">
        <v>83</v>
      </c>
      <c r="B67" s="7" t="s">
        <v>212</v>
      </c>
      <c r="C67" s="8">
        <v>401172.18</v>
      </c>
      <c r="D67" s="8">
        <v>74700.42</v>
      </c>
      <c r="E67" s="9">
        <v>0.186205384431194</v>
      </c>
      <c r="F67" s="10" t="s">
        <v>17</v>
      </c>
      <c r="G67" s="10" t="s">
        <v>17</v>
      </c>
    </row>
    <row r="68" spans="1:7" x14ac:dyDescent="0.25">
      <c r="A68" s="6" t="s">
        <v>84</v>
      </c>
      <c r="B68" s="7" t="s">
        <v>210</v>
      </c>
      <c r="C68" s="8">
        <v>380688.75099999999</v>
      </c>
      <c r="D68" s="8">
        <v>71064.58</v>
      </c>
      <c r="E68" s="9">
        <v>0.18667370604812</v>
      </c>
      <c r="F68" s="10" t="s">
        <v>17</v>
      </c>
      <c r="G68" s="10" t="s">
        <v>17</v>
      </c>
    </row>
    <row r="69" spans="1:7" x14ac:dyDescent="0.25">
      <c r="A69" s="6" t="s">
        <v>85</v>
      </c>
      <c r="B69" s="7" t="s">
        <v>218</v>
      </c>
      <c r="C69" s="8">
        <v>378041.68</v>
      </c>
      <c r="D69" s="8">
        <v>53893.41</v>
      </c>
      <c r="E69" s="9">
        <v>0.14255943947767899</v>
      </c>
      <c r="F69" s="10" t="s">
        <v>17</v>
      </c>
      <c r="G69" s="10" t="s">
        <v>17</v>
      </c>
    </row>
    <row r="70" spans="1:7" x14ac:dyDescent="0.25">
      <c r="A70" s="6" t="s">
        <v>86</v>
      </c>
      <c r="B70" s="7" t="s">
        <v>220</v>
      </c>
      <c r="C70" s="8">
        <v>363291.85</v>
      </c>
      <c r="D70" s="8">
        <v>63986.86</v>
      </c>
      <c r="E70" s="9">
        <v>0.17613073345851299</v>
      </c>
      <c r="F70" s="10" t="s">
        <v>17</v>
      </c>
      <c r="G70" s="10" t="s">
        <v>17</v>
      </c>
    </row>
    <row r="71" spans="1:7" x14ac:dyDescent="0.25">
      <c r="A71" s="6" t="s">
        <v>87</v>
      </c>
      <c r="B71" s="7" t="s">
        <v>222</v>
      </c>
      <c r="C71" s="8">
        <v>360087.32</v>
      </c>
      <c r="D71" s="8">
        <v>41172.269999999997</v>
      </c>
      <c r="E71" s="9">
        <v>0.114339682941349</v>
      </c>
      <c r="F71" s="10" t="s">
        <v>17</v>
      </c>
      <c r="G71" s="10" t="s">
        <v>17</v>
      </c>
    </row>
    <row r="72" spans="1:7" x14ac:dyDescent="0.25">
      <c r="A72" s="6" t="s">
        <v>88</v>
      </c>
      <c r="B72" s="7" t="s">
        <v>217</v>
      </c>
      <c r="C72" s="8">
        <v>345046.19</v>
      </c>
      <c r="D72" s="8">
        <v>50537.73</v>
      </c>
      <c r="E72" s="9">
        <v>0.14646656437504799</v>
      </c>
      <c r="F72" s="10" t="s">
        <v>15</v>
      </c>
      <c r="G72" s="11">
        <f>(D72 / F72)</f>
        <v>50.537730000000003</v>
      </c>
    </row>
    <row r="73" spans="1:7" x14ac:dyDescent="0.25">
      <c r="A73" s="6" t="s">
        <v>89</v>
      </c>
      <c r="B73" s="7" t="s">
        <v>226</v>
      </c>
      <c r="C73" s="8">
        <v>322477.64</v>
      </c>
      <c r="D73" s="8">
        <v>20179.560000000001</v>
      </c>
      <c r="E73" s="9">
        <v>6.2576617715262406E-2</v>
      </c>
      <c r="F73" s="10" t="s">
        <v>17</v>
      </c>
      <c r="G73" s="10" t="s">
        <v>17</v>
      </c>
    </row>
    <row r="74" spans="1:7" x14ac:dyDescent="0.25">
      <c r="A74" s="6" t="s">
        <v>90</v>
      </c>
      <c r="B74" s="7" t="s">
        <v>216</v>
      </c>
      <c r="C74" s="8">
        <v>319401.93</v>
      </c>
      <c r="D74" s="8">
        <v>167788.54</v>
      </c>
      <c r="E74" s="9">
        <v>0.52532099602529003</v>
      </c>
      <c r="F74" s="10" t="s">
        <v>17</v>
      </c>
      <c r="G74" s="10" t="s">
        <v>17</v>
      </c>
    </row>
    <row r="75" spans="1:7" x14ac:dyDescent="0.25">
      <c r="A75" s="6" t="s">
        <v>91</v>
      </c>
      <c r="B75" s="7" t="s">
        <v>227</v>
      </c>
      <c r="C75" s="8">
        <v>316329.25</v>
      </c>
      <c r="D75" s="8">
        <v>27298.98</v>
      </c>
      <c r="E75" s="9">
        <v>8.6299259395076502E-2</v>
      </c>
      <c r="F75" s="10" t="s">
        <v>17</v>
      </c>
      <c r="G75" s="10" t="s">
        <v>17</v>
      </c>
    </row>
    <row r="76" spans="1:7" x14ac:dyDescent="0.25">
      <c r="A76" s="6" t="s">
        <v>92</v>
      </c>
      <c r="B76" s="7" t="s">
        <v>224</v>
      </c>
      <c r="C76" s="8">
        <v>306180.64</v>
      </c>
      <c r="D76" s="8">
        <v>59259.15</v>
      </c>
      <c r="E76" s="9">
        <v>0.19354309926323199</v>
      </c>
      <c r="F76" s="10" t="s">
        <v>17</v>
      </c>
      <c r="G76" s="10" t="s">
        <v>17</v>
      </c>
    </row>
    <row r="77" spans="1:7" x14ac:dyDescent="0.25">
      <c r="A77" s="6" t="s">
        <v>93</v>
      </c>
      <c r="B77" s="7" t="s">
        <v>303</v>
      </c>
      <c r="C77" s="8">
        <v>306143.33</v>
      </c>
      <c r="D77" s="8">
        <v>17587.990000000002</v>
      </c>
      <c r="E77" s="9">
        <v>5.7450181913158101E-2</v>
      </c>
      <c r="F77" s="10" t="s">
        <v>17</v>
      </c>
      <c r="G77" s="10" t="s">
        <v>17</v>
      </c>
    </row>
    <row r="78" spans="1:7" x14ac:dyDescent="0.25">
      <c r="A78" s="6" t="s">
        <v>94</v>
      </c>
      <c r="B78" s="7" t="s">
        <v>228</v>
      </c>
      <c r="C78" s="8">
        <v>294403.83</v>
      </c>
      <c r="D78" s="8">
        <v>14429.89</v>
      </c>
      <c r="E78" s="9">
        <v>4.90139343635577E-2</v>
      </c>
      <c r="F78" s="10" t="s">
        <v>17</v>
      </c>
      <c r="G78" s="10" t="s">
        <v>17</v>
      </c>
    </row>
    <row r="79" spans="1:7" x14ac:dyDescent="0.25">
      <c r="A79" s="6" t="s">
        <v>95</v>
      </c>
      <c r="B79" s="7" t="s">
        <v>229</v>
      </c>
      <c r="C79" s="8">
        <v>287192.18</v>
      </c>
      <c r="D79" s="8">
        <v>28260.34</v>
      </c>
      <c r="E79" s="9">
        <v>9.8402191870266095E-2</v>
      </c>
      <c r="F79" s="10" t="s">
        <v>17</v>
      </c>
      <c r="G79" s="10" t="s">
        <v>17</v>
      </c>
    </row>
    <row r="80" spans="1:7" x14ac:dyDescent="0.25">
      <c r="A80" s="6" t="s">
        <v>96</v>
      </c>
      <c r="B80" s="7" t="s">
        <v>232</v>
      </c>
      <c r="C80" s="8">
        <v>281438.28000000003</v>
      </c>
      <c r="D80" s="8">
        <v>12724.8</v>
      </c>
      <c r="E80" s="9">
        <v>4.5213465630901402E-2</v>
      </c>
      <c r="F80" s="10" t="s">
        <v>17</v>
      </c>
      <c r="G80" s="10" t="s">
        <v>17</v>
      </c>
    </row>
    <row r="81" spans="1:7" x14ac:dyDescent="0.25">
      <c r="A81" s="6" t="s">
        <v>97</v>
      </c>
      <c r="B81" s="7" t="s">
        <v>231</v>
      </c>
      <c r="C81" s="8">
        <v>279434.71999999997</v>
      </c>
      <c r="D81" s="8">
        <v>22476.48</v>
      </c>
      <c r="E81" s="9">
        <v>8.0435530702841804E-2</v>
      </c>
      <c r="F81" s="10" t="s">
        <v>17</v>
      </c>
      <c r="G81" s="10" t="s">
        <v>17</v>
      </c>
    </row>
    <row r="82" spans="1:7" x14ac:dyDescent="0.25">
      <c r="A82" s="6" t="s">
        <v>98</v>
      </c>
      <c r="B82" s="7" t="s">
        <v>254</v>
      </c>
      <c r="C82" s="8">
        <v>273061.09999999998</v>
      </c>
      <c r="D82" s="8">
        <v>42601.81</v>
      </c>
      <c r="E82" s="9">
        <v>0.15601566828815999</v>
      </c>
      <c r="F82" s="10" t="s">
        <v>17</v>
      </c>
      <c r="G82" s="10" t="s">
        <v>17</v>
      </c>
    </row>
    <row r="83" spans="1:7" x14ac:dyDescent="0.25">
      <c r="A83" s="6" t="s">
        <v>99</v>
      </c>
      <c r="B83" s="7" t="s">
        <v>234</v>
      </c>
      <c r="C83" s="8">
        <v>265873.61</v>
      </c>
      <c r="D83" s="8">
        <v>25281.06</v>
      </c>
      <c r="E83" s="9">
        <v>9.5086759456871298E-2</v>
      </c>
      <c r="F83" s="10" t="s">
        <v>17</v>
      </c>
      <c r="G83" s="10" t="s">
        <v>17</v>
      </c>
    </row>
    <row r="84" spans="1:7" x14ac:dyDescent="0.25">
      <c r="A84" s="6" t="s">
        <v>100</v>
      </c>
      <c r="B84" s="7" t="s">
        <v>233</v>
      </c>
      <c r="C84" s="8">
        <v>257398.9</v>
      </c>
      <c r="D84" s="8">
        <v>46994.65</v>
      </c>
      <c r="E84" s="9">
        <v>0.18257517806020099</v>
      </c>
      <c r="F84" s="10" t="s">
        <v>17</v>
      </c>
      <c r="G84" s="10" t="s">
        <v>17</v>
      </c>
    </row>
    <row r="85" spans="1:7" x14ac:dyDescent="0.25">
      <c r="A85" s="6" t="s">
        <v>101</v>
      </c>
      <c r="B85" s="7" t="s">
        <v>235</v>
      </c>
      <c r="C85" s="8">
        <v>240711.56</v>
      </c>
      <c r="D85" s="8">
        <v>25226.48</v>
      </c>
      <c r="E85" s="9">
        <v>0.10479961992685401</v>
      </c>
      <c r="F85" s="10" t="s">
        <v>17</v>
      </c>
      <c r="G85" s="10" t="s">
        <v>17</v>
      </c>
    </row>
    <row r="86" spans="1:7" x14ac:dyDescent="0.25">
      <c r="A86" s="6" t="s">
        <v>102</v>
      </c>
      <c r="B86" s="7" t="s">
        <v>236</v>
      </c>
      <c r="C86" s="8">
        <v>226223.4</v>
      </c>
      <c r="D86" s="8">
        <v>73729.070000000007</v>
      </c>
      <c r="E86" s="9">
        <v>0.325912659786742</v>
      </c>
      <c r="F86" s="10" t="s">
        <v>17</v>
      </c>
      <c r="G86" s="10" t="s">
        <v>17</v>
      </c>
    </row>
    <row r="87" spans="1:7" x14ac:dyDescent="0.25">
      <c r="A87" s="6" t="s">
        <v>103</v>
      </c>
      <c r="B87" s="7" t="s">
        <v>305</v>
      </c>
      <c r="C87" s="8">
        <v>212992.77</v>
      </c>
      <c r="D87" s="8">
        <v>158670.71</v>
      </c>
      <c r="E87" s="9">
        <v>0.74495819740735802</v>
      </c>
      <c r="F87" s="10" t="s">
        <v>17</v>
      </c>
      <c r="G87" s="10" t="s">
        <v>17</v>
      </c>
    </row>
    <row r="88" spans="1:7" x14ac:dyDescent="0.25">
      <c r="A88" s="12" t="s">
        <v>104</v>
      </c>
      <c r="B88" s="13" t="s">
        <v>230</v>
      </c>
      <c r="C88" s="14">
        <v>204079.91</v>
      </c>
      <c r="D88" s="14">
        <v>43809.54</v>
      </c>
      <c r="E88" s="15">
        <v>0.21466855801729801</v>
      </c>
      <c r="F88" s="16" t="s">
        <v>292</v>
      </c>
      <c r="G88" s="17">
        <f>(D88 / F88)</f>
        <v>11.840416216216216</v>
      </c>
    </row>
    <row r="89" spans="1:7" x14ac:dyDescent="0.25">
      <c r="A89" s="6" t="s">
        <v>105</v>
      </c>
      <c r="B89" s="7" t="s">
        <v>238</v>
      </c>
      <c r="C89" s="8">
        <v>200947.49</v>
      </c>
      <c r="D89" s="8">
        <v>12051.98</v>
      </c>
      <c r="E89" s="9">
        <v>5.9975767798841402E-2</v>
      </c>
      <c r="F89" s="10" t="s">
        <v>17</v>
      </c>
      <c r="G89" s="10" t="s">
        <v>17</v>
      </c>
    </row>
    <row r="90" spans="1:7" x14ac:dyDescent="0.25">
      <c r="A90" s="6" t="s">
        <v>106</v>
      </c>
      <c r="B90" s="7" t="s">
        <v>239</v>
      </c>
      <c r="C90" s="8">
        <v>191678.33</v>
      </c>
      <c r="D90" s="8">
        <v>159387.12</v>
      </c>
      <c r="E90" s="9">
        <v>0.83153437323874801</v>
      </c>
      <c r="F90" s="10" t="s">
        <v>17</v>
      </c>
      <c r="G90" s="10" t="s">
        <v>17</v>
      </c>
    </row>
    <row r="91" spans="1:7" x14ac:dyDescent="0.25">
      <c r="A91" s="6" t="s">
        <v>107</v>
      </c>
      <c r="B91" s="7" t="s">
        <v>275</v>
      </c>
      <c r="C91" s="8">
        <v>176073.28</v>
      </c>
      <c r="D91" s="8">
        <v>20001.52</v>
      </c>
      <c r="E91" s="9">
        <v>0.113597702047693</v>
      </c>
      <c r="F91" s="10" t="s">
        <v>17</v>
      </c>
      <c r="G91" s="10" t="s">
        <v>17</v>
      </c>
    </row>
    <row r="92" spans="1:7" x14ac:dyDescent="0.25">
      <c r="A92" s="6" t="s">
        <v>108</v>
      </c>
      <c r="B92" s="7" t="s">
        <v>240</v>
      </c>
      <c r="C92" s="8">
        <v>163235.79999999999</v>
      </c>
      <c r="D92" s="8">
        <v>12007.99</v>
      </c>
      <c r="E92" s="9">
        <v>7.3562233284610395E-2</v>
      </c>
      <c r="F92" s="10" t="s">
        <v>17</v>
      </c>
      <c r="G92" s="10" t="s">
        <v>17</v>
      </c>
    </row>
    <row r="93" spans="1:7" x14ac:dyDescent="0.25">
      <c r="A93" s="6" t="s">
        <v>109</v>
      </c>
      <c r="B93" s="7" t="s">
        <v>276</v>
      </c>
      <c r="C93" s="8">
        <v>153987.98000000001</v>
      </c>
      <c r="D93" s="8">
        <v>19434.939999999999</v>
      </c>
      <c r="E93" s="9">
        <v>0.12621076008659901</v>
      </c>
      <c r="F93" s="10" t="s">
        <v>17</v>
      </c>
      <c r="G93" s="10" t="s">
        <v>17</v>
      </c>
    </row>
    <row r="94" spans="1:7" x14ac:dyDescent="0.25">
      <c r="A94" s="6" t="s">
        <v>110</v>
      </c>
      <c r="B94" s="7" t="s">
        <v>307</v>
      </c>
      <c r="C94" s="8">
        <v>151500.38</v>
      </c>
      <c r="D94" s="8">
        <v>89197.31</v>
      </c>
      <c r="E94" s="9">
        <v>0.58875964535534497</v>
      </c>
      <c r="F94" s="10" t="s">
        <v>17</v>
      </c>
      <c r="G94" s="10" t="s">
        <v>17</v>
      </c>
    </row>
    <row r="95" spans="1:7" x14ac:dyDescent="0.25">
      <c r="A95" s="6" t="s">
        <v>111</v>
      </c>
      <c r="B95" s="7" t="s">
        <v>243</v>
      </c>
      <c r="C95" s="8">
        <v>149021.85999999999</v>
      </c>
      <c r="D95" s="8">
        <v>10932.32</v>
      </c>
      <c r="E95" s="9">
        <v>7.3360512343625298E-2</v>
      </c>
      <c r="F95" s="10" t="s">
        <v>17</v>
      </c>
      <c r="G95" s="10" t="s">
        <v>17</v>
      </c>
    </row>
    <row r="96" spans="1:7" x14ac:dyDescent="0.25">
      <c r="A96" s="6" t="s">
        <v>112</v>
      </c>
      <c r="B96" s="7" t="s">
        <v>241</v>
      </c>
      <c r="C96" s="8">
        <v>145542.48000000001</v>
      </c>
      <c r="D96" s="8">
        <v>18468.89</v>
      </c>
      <c r="E96" s="9">
        <v>0.126896903227154</v>
      </c>
      <c r="F96" s="10" t="s">
        <v>16</v>
      </c>
      <c r="G96" s="11">
        <f>(D96 / F96)</f>
        <v>51.589078212290502</v>
      </c>
    </row>
    <row r="97" spans="1:7" x14ac:dyDescent="0.25">
      <c r="A97" s="6" t="s">
        <v>113</v>
      </c>
      <c r="B97" s="7" t="s">
        <v>244</v>
      </c>
      <c r="C97" s="8">
        <v>143492.88</v>
      </c>
      <c r="D97" s="8">
        <v>5839.68</v>
      </c>
      <c r="E97" s="9">
        <v>4.06966533809901E-2</v>
      </c>
      <c r="F97" s="10" t="s">
        <v>17</v>
      </c>
      <c r="G97" s="10" t="s">
        <v>17</v>
      </c>
    </row>
    <row r="98" spans="1:7" x14ac:dyDescent="0.25">
      <c r="A98" s="6" t="s">
        <v>114</v>
      </c>
      <c r="B98" s="7" t="s">
        <v>320</v>
      </c>
      <c r="C98" s="8">
        <v>139018.95000000001</v>
      </c>
      <c r="D98" s="8">
        <v>139018.95000000001</v>
      </c>
      <c r="E98" s="9">
        <v>1</v>
      </c>
      <c r="F98" s="10" t="s">
        <v>17</v>
      </c>
      <c r="G98" s="10" t="s">
        <v>17</v>
      </c>
    </row>
    <row r="99" spans="1:7" x14ac:dyDescent="0.25">
      <c r="A99" s="6" t="s">
        <v>115</v>
      </c>
      <c r="B99" s="7" t="s">
        <v>246</v>
      </c>
      <c r="C99" s="8">
        <v>135485.29</v>
      </c>
      <c r="D99" s="8">
        <v>9391.35</v>
      </c>
      <c r="E99" s="9">
        <v>6.9316381136284203E-2</v>
      </c>
      <c r="F99" s="10" t="s">
        <v>17</v>
      </c>
      <c r="G99" s="10" t="s">
        <v>17</v>
      </c>
    </row>
    <row r="100" spans="1:7" x14ac:dyDescent="0.25">
      <c r="A100" s="6" t="s">
        <v>116</v>
      </c>
      <c r="B100" s="7" t="s">
        <v>242</v>
      </c>
      <c r="C100" s="8">
        <v>133118.32</v>
      </c>
      <c r="D100" s="8">
        <v>48019.72</v>
      </c>
      <c r="E100" s="9">
        <v>0.36072961257323599</v>
      </c>
      <c r="F100" s="10" t="s">
        <v>17</v>
      </c>
      <c r="G100" s="10" t="s">
        <v>17</v>
      </c>
    </row>
    <row r="101" spans="1:7" x14ac:dyDescent="0.25">
      <c r="A101" s="6" t="s">
        <v>117</v>
      </c>
      <c r="B101" s="7" t="s">
        <v>245</v>
      </c>
      <c r="C101" s="8">
        <v>128298.89</v>
      </c>
      <c r="D101" s="8">
        <v>8259.66</v>
      </c>
      <c r="E101" s="9">
        <v>6.4378265470574195E-2</v>
      </c>
      <c r="F101" s="10" t="s">
        <v>17</v>
      </c>
      <c r="G101" s="10" t="s">
        <v>17</v>
      </c>
    </row>
    <row r="102" spans="1:7" x14ac:dyDescent="0.25">
      <c r="A102" s="6" t="s">
        <v>118</v>
      </c>
      <c r="B102" s="7" t="s">
        <v>247</v>
      </c>
      <c r="C102" s="8">
        <v>126804.94</v>
      </c>
      <c r="D102" s="8">
        <v>20310.62</v>
      </c>
      <c r="E102" s="9">
        <v>0.16017215102187701</v>
      </c>
      <c r="F102" s="10" t="s">
        <v>17</v>
      </c>
      <c r="G102" s="10" t="s">
        <v>17</v>
      </c>
    </row>
    <row r="103" spans="1:7" x14ac:dyDescent="0.25">
      <c r="A103" s="6" t="s">
        <v>119</v>
      </c>
      <c r="B103" s="7" t="s">
        <v>306</v>
      </c>
      <c r="C103" s="8">
        <v>125789.66</v>
      </c>
      <c r="D103" s="8">
        <v>11957.7</v>
      </c>
      <c r="E103" s="9">
        <v>9.5061072587365306E-2</v>
      </c>
      <c r="F103" s="10" t="s">
        <v>17</v>
      </c>
      <c r="G103" s="10" t="s">
        <v>17</v>
      </c>
    </row>
    <row r="104" spans="1:7" x14ac:dyDescent="0.25">
      <c r="A104" s="6" t="s">
        <v>120</v>
      </c>
      <c r="B104" s="7" t="s">
        <v>248</v>
      </c>
      <c r="C104" s="8">
        <v>114343.74</v>
      </c>
      <c r="D104" s="8">
        <v>4076.98</v>
      </c>
      <c r="E104" s="9">
        <v>3.56554718255674E-2</v>
      </c>
      <c r="F104" s="10" t="s">
        <v>17</v>
      </c>
      <c r="G104" s="10" t="s">
        <v>17</v>
      </c>
    </row>
    <row r="105" spans="1:7" x14ac:dyDescent="0.25">
      <c r="A105" s="6" t="s">
        <v>121</v>
      </c>
      <c r="B105" s="7" t="s">
        <v>295</v>
      </c>
      <c r="C105" s="8">
        <v>110090.26</v>
      </c>
      <c r="D105" s="8">
        <v>12125.86</v>
      </c>
      <c r="E105" s="9">
        <v>0.11014471216618101</v>
      </c>
      <c r="F105" s="10" t="s">
        <v>17</v>
      </c>
      <c r="G105" s="10" t="s">
        <v>17</v>
      </c>
    </row>
    <row r="106" spans="1:7" x14ac:dyDescent="0.25">
      <c r="A106" s="6" t="s">
        <v>122</v>
      </c>
      <c r="B106" s="7" t="s">
        <v>249</v>
      </c>
      <c r="C106" s="8">
        <v>102203.45</v>
      </c>
      <c r="D106" s="8">
        <v>13285.65</v>
      </c>
      <c r="E106" s="9">
        <v>0.12999218715219499</v>
      </c>
      <c r="F106" s="10" t="s">
        <v>17</v>
      </c>
      <c r="G106" s="10" t="s">
        <v>17</v>
      </c>
    </row>
    <row r="107" spans="1:7" x14ac:dyDescent="0.25">
      <c r="A107" s="6" t="s">
        <v>123</v>
      </c>
      <c r="B107" s="7" t="s">
        <v>331</v>
      </c>
      <c r="C107" s="8">
        <v>100000</v>
      </c>
      <c r="D107" s="8">
        <v>100000</v>
      </c>
      <c r="E107" s="9">
        <v>1</v>
      </c>
      <c r="F107" s="10" t="s">
        <v>17</v>
      </c>
      <c r="G107" s="10" t="s">
        <v>17</v>
      </c>
    </row>
    <row r="108" spans="1:7" x14ac:dyDescent="0.25">
      <c r="A108" s="6" t="s">
        <v>124</v>
      </c>
      <c r="B108" s="7" t="s">
        <v>309</v>
      </c>
      <c r="C108" s="8">
        <v>96899.87</v>
      </c>
      <c r="D108" s="8">
        <v>12371.05</v>
      </c>
      <c r="E108" s="9">
        <v>0.12766838593281901</v>
      </c>
      <c r="F108" s="10" t="s">
        <v>17</v>
      </c>
      <c r="G108" s="10" t="s">
        <v>17</v>
      </c>
    </row>
    <row r="109" spans="1:7" x14ac:dyDescent="0.25">
      <c r="A109" s="6" t="s">
        <v>125</v>
      </c>
      <c r="B109" s="7" t="s">
        <v>317</v>
      </c>
      <c r="C109" s="8">
        <v>90180.34</v>
      </c>
      <c r="D109" s="8">
        <v>596.53</v>
      </c>
      <c r="E109" s="9">
        <v>6.6148564088358997E-3</v>
      </c>
      <c r="F109" s="10" t="s">
        <v>17</v>
      </c>
      <c r="G109" s="10" t="s">
        <v>17</v>
      </c>
    </row>
    <row r="110" spans="1:7" x14ac:dyDescent="0.25">
      <c r="A110" s="6" t="s">
        <v>126</v>
      </c>
      <c r="B110" s="7" t="s">
        <v>253</v>
      </c>
      <c r="C110" s="8">
        <v>83948.42</v>
      </c>
      <c r="D110" s="8">
        <v>5971.26</v>
      </c>
      <c r="E110" s="9">
        <v>7.1130105843564398E-2</v>
      </c>
      <c r="F110" s="10" t="s">
        <v>17</v>
      </c>
      <c r="G110" s="10" t="s">
        <v>17</v>
      </c>
    </row>
    <row r="111" spans="1:7" x14ac:dyDescent="0.25">
      <c r="A111" s="6" t="s">
        <v>127</v>
      </c>
      <c r="B111" s="7" t="s">
        <v>230</v>
      </c>
      <c r="C111" s="8">
        <v>72368.33</v>
      </c>
      <c r="D111" s="8">
        <v>8441.44</v>
      </c>
      <c r="E111" s="9">
        <v>0.116645499488519</v>
      </c>
      <c r="F111" s="10" t="s">
        <v>17</v>
      </c>
      <c r="G111" s="10" t="s">
        <v>17</v>
      </c>
    </row>
    <row r="112" spans="1:7" x14ac:dyDescent="0.25">
      <c r="A112" s="6" t="s">
        <v>128</v>
      </c>
      <c r="B112" s="7" t="s">
        <v>255</v>
      </c>
      <c r="C112" s="8">
        <v>72034.240000000005</v>
      </c>
      <c r="D112" s="8">
        <v>464.3</v>
      </c>
      <c r="E112" s="9">
        <v>6.4455458959517004E-3</v>
      </c>
      <c r="F112" s="10" t="s">
        <v>17</v>
      </c>
      <c r="G112" s="10" t="s">
        <v>17</v>
      </c>
    </row>
    <row r="113" spans="1:7" x14ac:dyDescent="0.25">
      <c r="A113" s="6" t="s">
        <v>129</v>
      </c>
      <c r="B113" s="7" t="s">
        <v>256</v>
      </c>
      <c r="C113" s="8">
        <v>71708.31</v>
      </c>
      <c r="D113" s="8">
        <v>4667.6499999999996</v>
      </c>
      <c r="E113" s="9">
        <v>6.5092176903904203E-2</v>
      </c>
      <c r="F113" s="10" t="s">
        <v>17</v>
      </c>
      <c r="G113" s="10" t="s">
        <v>17</v>
      </c>
    </row>
    <row r="114" spans="1:7" x14ac:dyDescent="0.25">
      <c r="A114" s="6" t="s">
        <v>130</v>
      </c>
      <c r="B114" s="7" t="s">
        <v>321</v>
      </c>
      <c r="C114" s="8">
        <v>71149.7</v>
      </c>
      <c r="D114" s="8">
        <v>42587.67</v>
      </c>
      <c r="E114" s="9">
        <v>0.59856429471944395</v>
      </c>
      <c r="F114" s="10" t="s">
        <v>17</v>
      </c>
      <c r="G114" s="10" t="s">
        <v>17</v>
      </c>
    </row>
    <row r="115" spans="1:7" x14ac:dyDescent="0.25">
      <c r="A115" s="6" t="s">
        <v>131</v>
      </c>
      <c r="B115" s="7" t="s">
        <v>258</v>
      </c>
      <c r="C115" s="8">
        <v>67021.81</v>
      </c>
      <c r="D115" s="8">
        <v>4255.4799999999996</v>
      </c>
      <c r="E115" s="9">
        <v>6.3493958160783806E-2</v>
      </c>
      <c r="F115" s="10" t="s">
        <v>17</v>
      </c>
      <c r="G115" s="10" t="s">
        <v>17</v>
      </c>
    </row>
    <row r="116" spans="1:7" x14ac:dyDescent="0.25">
      <c r="A116" s="6" t="s">
        <v>132</v>
      </c>
      <c r="B116" s="7" t="s">
        <v>257</v>
      </c>
      <c r="C116" s="8">
        <v>56463.71</v>
      </c>
      <c r="D116" s="8">
        <v>1553.66</v>
      </c>
      <c r="E116" s="9">
        <v>2.7516080682619001E-2</v>
      </c>
      <c r="F116" s="10" t="s">
        <v>17</v>
      </c>
      <c r="G116" s="10" t="s">
        <v>17</v>
      </c>
    </row>
    <row r="117" spans="1:7" x14ac:dyDescent="0.25">
      <c r="A117" s="6" t="s">
        <v>133</v>
      </c>
      <c r="B117" s="7" t="s">
        <v>259</v>
      </c>
      <c r="C117" s="8">
        <v>53915.94</v>
      </c>
      <c r="D117" s="8">
        <v>3748.31</v>
      </c>
      <c r="E117" s="9">
        <v>6.9521369747054404E-2</v>
      </c>
      <c r="F117" s="10" t="s">
        <v>17</v>
      </c>
      <c r="G117" s="10" t="s">
        <v>17</v>
      </c>
    </row>
    <row r="118" spans="1:7" x14ac:dyDescent="0.25">
      <c r="A118" s="6" t="s">
        <v>134</v>
      </c>
      <c r="B118" s="7" t="s">
        <v>262</v>
      </c>
      <c r="C118" s="8">
        <v>50592.99</v>
      </c>
      <c r="D118" s="8">
        <v>6312.93</v>
      </c>
      <c r="E118" s="9">
        <v>0.124778748992696</v>
      </c>
      <c r="F118" s="10" t="s">
        <v>17</v>
      </c>
      <c r="G118" s="10" t="s">
        <v>17</v>
      </c>
    </row>
    <row r="119" spans="1:7" x14ac:dyDescent="0.25">
      <c r="A119" s="6" t="s">
        <v>135</v>
      </c>
      <c r="B119" s="7" t="s">
        <v>291</v>
      </c>
      <c r="C119" s="8">
        <v>49211.38</v>
      </c>
      <c r="D119" s="8">
        <v>7034.77</v>
      </c>
      <c r="E119" s="9">
        <v>0.142950065614905</v>
      </c>
      <c r="F119" s="10" t="s">
        <v>17</v>
      </c>
      <c r="G119" s="10" t="s">
        <v>17</v>
      </c>
    </row>
    <row r="120" spans="1:7" x14ac:dyDescent="0.25">
      <c r="A120" s="6" t="s">
        <v>136</v>
      </c>
      <c r="B120" s="7" t="s">
        <v>329</v>
      </c>
      <c r="C120" s="8">
        <v>42595.25</v>
      </c>
      <c r="D120" s="8">
        <v>3967.33</v>
      </c>
      <c r="E120" s="9">
        <v>9.3140197557239401E-2</v>
      </c>
      <c r="F120" s="10" t="s">
        <v>17</v>
      </c>
      <c r="G120" s="10" t="s">
        <v>17</v>
      </c>
    </row>
    <row r="121" spans="1:7" x14ac:dyDescent="0.25">
      <c r="A121" s="6" t="s">
        <v>137</v>
      </c>
      <c r="B121" s="7" t="s">
        <v>260</v>
      </c>
      <c r="C121" s="8">
        <v>41551.65</v>
      </c>
      <c r="D121" s="8">
        <v>345.25</v>
      </c>
      <c r="E121" s="9">
        <v>8.3089359868982297E-3</v>
      </c>
      <c r="F121" s="10" t="s">
        <v>17</v>
      </c>
      <c r="G121" s="10" t="s">
        <v>17</v>
      </c>
    </row>
    <row r="122" spans="1:7" x14ac:dyDescent="0.25">
      <c r="A122" s="6" t="s">
        <v>138</v>
      </c>
      <c r="B122" s="7" t="s">
        <v>283</v>
      </c>
      <c r="C122" s="8">
        <v>41510.89</v>
      </c>
      <c r="D122" s="8">
        <v>509.96</v>
      </c>
      <c r="E122" s="9">
        <v>1.22849690767892E-2</v>
      </c>
      <c r="F122" s="10" t="s">
        <v>17</v>
      </c>
      <c r="G122" s="10" t="s">
        <v>17</v>
      </c>
    </row>
    <row r="123" spans="1:7" x14ac:dyDescent="0.25">
      <c r="A123" s="6" t="s">
        <v>139</v>
      </c>
      <c r="B123" s="7" t="s">
        <v>310</v>
      </c>
      <c r="C123" s="8">
        <v>40068.31</v>
      </c>
      <c r="D123" s="8">
        <v>8090.51</v>
      </c>
      <c r="E123" s="9">
        <v>0.20191792466415501</v>
      </c>
      <c r="F123" s="10" t="s">
        <v>17</v>
      </c>
      <c r="G123" s="10" t="s">
        <v>17</v>
      </c>
    </row>
    <row r="124" spans="1:7" x14ac:dyDescent="0.25">
      <c r="A124" s="6" t="s">
        <v>140</v>
      </c>
      <c r="B124" s="7" t="s">
        <v>263</v>
      </c>
      <c r="C124" s="8">
        <v>37649.53</v>
      </c>
      <c r="D124" s="8">
        <v>990.22</v>
      </c>
      <c r="E124" s="9">
        <v>2.6300992336424901E-2</v>
      </c>
      <c r="F124" s="10" t="s">
        <v>17</v>
      </c>
      <c r="G124" s="10" t="s">
        <v>17</v>
      </c>
    </row>
    <row r="125" spans="1:7" x14ac:dyDescent="0.25">
      <c r="A125" s="6" t="s">
        <v>141</v>
      </c>
      <c r="B125" s="7" t="s">
        <v>251</v>
      </c>
      <c r="C125" s="8">
        <v>36395.339999999997</v>
      </c>
      <c r="D125" s="8">
        <v>1935.62</v>
      </c>
      <c r="E125" s="9">
        <v>5.3183182242561799E-2</v>
      </c>
      <c r="F125" s="10" t="s">
        <v>17</v>
      </c>
      <c r="G125" s="10" t="s">
        <v>17</v>
      </c>
    </row>
    <row r="126" spans="1:7" x14ac:dyDescent="0.25">
      <c r="A126" s="6" t="s">
        <v>142</v>
      </c>
      <c r="B126" s="7" t="s">
        <v>266</v>
      </c>
      <c r="C126" s="8">
        <v>34281.17</v>
      </c>
      <c r="D126" s="8">
        <v>11632.65</v>
      </c>
      <c r="E126" s="9">
        <v>0.33933060044333402</v>
      </c>
      <c r="F126" s="10" t="s">
        <v>17</v>
      </c>
      <c r="G126" s="10" t="s">
        <v>17</v>
      </c>
    </row>
    <row r="127" spans="1:7" x14ac:dyDescent="0.25">
      <c r="A127" s="6" t="s">
        <v>143</v>
      </c>
      <c r="B127" s="7" t="s">
        <v>265</v>
      </c>
      <c r="C127" s="8">
        <v>31488.05</v>
      </c>
      <c r="D127" s="8">
        <v>4907.5600000000004</v>
      </c>
      <c r="E127" s="9">
        <v>0.155854681379126</v>
      </c>
      <c r="F127" s="10" t="s">
        <v>17</v>
      </c>
      <c r="G127" s="10" t="s">
        <v>17</v>
      </c>
    </row>
    <row r="128" spans="1:7" x14ac:dyDescent="0.25">
      <c r="A128" s="6" t="s">
        <v>144</v>
      </c>
      <c r="B128" s="7" t="s">
        <v>264</v>
      </c>
      <c r="C128" s="8">
        <v>30823.53</v>
      </c>
      <c r="D128" s="8">
        <v>1330.61</v>
      </c>
      <c r="E128" s="9">
        <v>4.31686442143389E-2</v>
      </c>
      <c r="F128" s="10" t="s">
        <v>17</v>
      </c>
      <c r="G128" s="10" t="s">
        <v>17</v>
      </c>
    </row>
    <row r="129" spans="1:7" x14ac:dyDescent="0.25">
      <c r="A129" s="6" t="s">
        <v>145</v>
      </c>
      <c r="B129" s="7" t="s">
        <v>311</v>
      </c>
      <c r="C129" s="8">
        <v>28033.18</v>
      </c>
      <c r="D129" s="8">
        <v>2376</v>
      </c>
      <c r="E129" s="9">
        <v>8.4756706160342907E-2</v>
      </c>
      <c r="F129" s="10" t="s">
        <v>17</v>
      </c>
      <c r="G129" s="10" t="s">
        <v>17</v>
      </c>
    </row>
    <row r="130" spans="1:7" x14ac:dyDescent="0.25">
      <c r="A130" s="6" t="s">
        <v>146</v>
      </c>
      <c r="B130" s="7" t="s">
        <v>267</v>
      </c>
      <c r="C130" s="8">
        <v>17347.509999999998</v>
      </c>
      <c r="D130" s="8">
        <v>1233.58</v>
      </c>
      <c r="E130" s="9">
        <v>7.1109917215784899E-2</v>
      </c>
      <c r="F130" s="10" t="s">
        <v>17</v>
      </c>
      <c r="G130" s="10" t="s">
        <v>17</v>
      </c>
    </row>
    <row r="131" spans="1:7" x14ac:dyDescent="0.25">
      <c r="A131" s="6" t="s">
        <v>147</v>
      </c>
      <c r="B131" s="7" t="s">
        <v>268</v>
      </c>
      <c r="C131" s="8">
        <v>17139.560000000001</v>
      </c>
      <c r="D131" s="8">
        <v>870.28</v>
      </c>
      <c r="E131" s="9">
        <v>5.0776099269759602E-2</v>
      </c>
      <c r="F131" s="10" t="s">
        <v>17</v>
      </c>
      <c r="G131" s="10" t="s">
        <v>17</v>
      </c>
    </row>
    <row r="132" spans="1:7" x14ac:dyDescent="0.25">
      <c r="A132" s="6" t="s">
        <v>148</v>
      </c>
      <c r="B132" s="7" t="s">
        <v>269</v>
      </c>
      <c r="C132" s="8">
        <v>14618.68</v>
      </c>
      <c r="D132" s="8">
        <v>1490.94</v>
      </c>
      <c r="E132" s="9">
        <v>0.101988688445195</v>
      </c>
      <c r="F132" s="10" t="s">
        <v>17</v>
      </c>
      <c r="G132" s="10" t="s">
        <v>17</v>
      </c>
    </row>
    <row r="133" spans="1:7" x14ac:dyDescent="0.25">
      <c r="A133" s="6" t="s">
        <v>149</v>
      </c>
      <c r="B133" s="7" t="s">
        <v>270</v>
      </c>
      <c r="C133" s="8">
        <v>14451.84</v>
      </c>
      <c r="D133" s="8">
        <v>120.25</v>
      </c>
      <c r="E133" s="9">
        <v>8.3207397812320102E-3</v>
      </c>
      <c r="F133" s="10" t="s">
        <v>17</v>
      </c>
      <c r="G133" s="10" t="s">
        <v>17</v>
      </c>
    </row>
    <row r="134" spans="1:7" x14ac:dyDescent="0.25">
      <c r="A134" s="6" t="s">
        <v>150</v>
      </c>
      <c r="B134" s="7" t="s">
        <v>277</v>
      </c>
      <c r="C134" s="8">
        <v>13675.69</v>
      </c>
      <c r="D134" s="8">
        <v>793.93</v>
      </c>
      <c r="E134" s="9">
        <v>5.8054109152810597E-2</v>
      </c>
      <c r="F134" s="10" t="s">
        <v>17</v>
      </c>
      <c r="G134" s="10" t="s">
        <v>17</v>
      </c>
    </row>
    <row r="135" spans="1:7" x14ac:dyDescent="0.25">
      <c r="A135" s="6" t="s">
        <v>151</v>
      </c>
      <c r="B135" s="7" t="s">
        <v>286</v>
      </c>
      <c r="C135" s="8">
        <v>7872.53</v>
      </c>
      <c r="D135" s="8">
        <v>81.739999999999995</v>
      </c>
      <c r="E135" s="9">
        <v>1.0382939156789501E-2</v>
      </c>
      <c r="F135" s="10" t="s">
        <v>17</v>
      </c>
      <c r="G135" s="10" t="s">
        <v>17</v>
      </c>
    </row>
    <row r="136" spans="1:7" x14ac:dyDescent="0.25">
      <c r="A136" s="6" t="s">
        <v>152</v>
      </c>
      <c r="B136" s="7" t="s">
        <v>322</v>
      </c>
      <c r="C136" s="8">
        <v>3806.01</v>
      </c>
      <c r="D136" s="8">
        <v>37.25</v>
      </c>
      <c r="E136" s="9">
        <v>9.7871524247177492E-3</v>
      </c>
      <c r="F136" s="10" t="s">
        <v>17</v>
      </c>
      <c r="G136" s="10" t="s">
        <v>17</v>
      </c>
    </row>
    <row r="137" spans="1:7" x14ac:dyDescent="0.25">
      <c r="A137" s="6" t="s">
        <v>153</v>
      </c>
      <c r="B137" s="7" t="s">
        <v>312</v>
      </c>
      <c r="C137" s="8">
        <v>2460.61</v>
      </c>
      <c r="D137" s="8">
        <v>52.68</v>
      </c>
      <c r="E137" s="9">
        <v>2.1409325329897901E-2</v>
      </c>
      <c r="F137" s="10" t="s">
        <v>17</v>
      </c>
      <c r="G137" s="10" t="s">
        <v>17</v>
      </c>
    </row>
    <row r="138" spans="1:7" x14ac:dyDescent="0.25">
      <c r="A138" s="6" t="s">
        <v>154</v>
      </c>
      <c r="B138" s="7" t="s">
        <v>313</v>
      </c>
      <c r="C138" s="8">
        <v>1898.21</v>
      </c>
      <c r="D138" s="8">
        <v>282.63</v>
      </c>
      <c r="E138" s="9">
        <v>0.14889290436779901</v>
      </c>
      <c r="F138" s="10" t="s">
        <v>17</v>
      </c>
      <c r="G138" s="10" t="s">
        <v>17</v>
      </c>
    </row>
    <row r="139" spans="1:7" x14ac:dyDescent="0.25">
      <c r="A139" s="6" t="s">
        <v>155</v>
      </c>
      <c r="B139" s="7" t="s">
        <v>323</v>
      </c>
      <c r="C139" s="8">
        <v>1000.02</v>
      </c>
      <c r="D139" s="8">
        <v>1000.02</v>
      </c>
      <c r="E139" s="9">
        <v>1</v>
      </c>
      <c r="F139" s="10" t="s">
        <v>17</v>
      </c>
      <c r="G139" s="10" t="s">
        <v>17</v>
      </c>
    </row>
    <row r="140" spans="1:7" x14ac:dyDescent="0.25">
      <c r="A140" s="6" t="s">
        <v>156</v>
      </c>
      <c r="B140" s="7" t="s">
        <v>324</v>
      </c>
      <c r="C140" s="8">
        <v>504.82</v>
      </c>
      <c r="D140" s="8">
        <v>81.819999999999993</v>
      </c>
      <c r="E140" s="9">
        <v>0.162077572203954</v>
      </c>
      <c r="F140" s="10" t="s">
        <v>17</v>
      </c>
      <c r="G140" s="10" t="s">
        <v>17</v>
      </c>
    </row>
    <row r="141" spans="1:7" x14ac:dyDescent="0.25">
      <c r="A141" s="6" t="s">
        <v>328</v>
      </c>
      <c r="B141" s="7" t="s">
        <v>318</v>
      </c>
      <c r="C141" s="8">
        <v>299.95</v>
      </c>
      <c r="D141" s="8">
        <v>299.95</v>
      </c>
      <c r="E141" s="9">
        <v>1</v>
      </c>
      <c r="F141" s="10" t="s">
        <v>17</v>
      </c>
      <c r="G141" s="10" t="s">
        <v>17</v>
      </c>
    </row>
    <row r="142" spans="1:7" x14ac:dyDescent="0.25">
      <c r="A142" s="6" t="s">
        <v>330</v>
      </c>
      <c r="B142" s="7" t="s">
        <v>319</v>
      </c>
      <c r="C142" s="8">
        <v>0</v>
      </c>
      <c r="D142" s="8">
        <v>0</v>
      </c>
      <c r="E142" s="9">
        <v>0</v>
      </c>
      <c r="F142" s="10" t="s">
        <v>17</v>
      </c>
      <c r="G142" s="10" t="s">
        <v>17</v>
      </c>
    </row>
    <row r="143" spans="1:7" x14ac:dyDescent="0.25">
      <c r="C143" s="8"/>
      <c r="D143" s="8"/>
      <c r="E143" s="9"/>
    </row>
    <row r="144" spans="1:7" x14ac:dyDescent="0.25">
      <c r="C144" s="8"/>
      <c r="D144" s="8"/>
      <c r="E144" s="9"/>
    </row>
    <row r="145" spans="1:7" x14ac:dyDescent="0.25">
      <c r="C145" s="8"/>
      <c r="D145" s="8"/>
      <c r="E145" s="9"/>
    </row>
    <row r="146" spans="1:7" x14ac:dyDescent="0.25">
      <c r="C146" s="8"/>
      <c r="D146" s="8" t="s">
        <v>298</v>
      </c>
      <c r="E146" s="9"/>
    </row>
    <row r="147" spans="1:7" ht="31.5" x14ac:dyDescent="0.25">
      <c r="A147" s="18"/>
      <c r="B147" s="19" t="s">
        <v>157</v>
      </c>
      <c r="C147" s="3" t="s">
        <v>158</v>
      </c>
      <c r="D147" s="3" t="s">
        <v>159</v>
      </c>
      <c r="E147" s="4" t="s">
        <v>160</v>
      </c>
      <c r="F147" s="5" t="s">
        <v>161</v>
      </c>
      <c r="G147" s="5" t="s">
        <v>162</v>
      </c>
    </row>
    <row r="148" spans="1:7" x14ac:dyDescent="0.25">
      <c r="A148" s="6" t="s">
        <v>18</v>
      </c>
      <c r="B148" s="7" t="s">
        <v>315</v>
      </c>
      <c r="C148" s="8">
        <v>3000329.6</v>
      </c>
      <c r="D148" s="8">
        <v>3000329.6</v>
      </c>
      <c r="E148" s="9">
        <v>1</v>
      </c>
      <c r="F148" s="10" t="s">
        <v>17</v>
      </c>
      <c r="G148" s="10" t="s">
        <v>17</v>
      </c>
    </row>
    <row r="149" spans="1:7" x14ac:dyDescent="0.25">
      <c r="A149" s="6" t="s">
        <v>19</v>
      </c>
      <c r="B149" s="7" t="s">
        <v>183</v>
      </c>
      <c r="C149" s="8">
        <v>1275740.18</v>
      </c>
      <c r="D149" s="8">
        <v>203094.28</v>
      </c>
      <c r="E149" s="9">
        <v>0.15919721208436</v>
      </c>
      <c r="F149" s="10" t="s">
        <v>17</v>
      </c>
      <c r="G149" s="10" t="s">
        <v>17</v>
      </c>
    </row>
    <row r="150" spans="1:7" x14ac:dyDescent="0.25">
      <c r="A150" s="6" t="s">
        <v>20</v>
      </c>
      <c r="B150" s="7" t="s">
        <v>165</v>
      </c>
      <c r="C150" s="8">
        <v>1126862.7</v>
      </c>
      <c r="D150" s="8">
        <v>1117478.24</v>
      </c>
      <c r="E150" s="9">
        <v>0.991672046647742</v>
      </c>
      <c r="F150" s="10" t="s">
        <v>17</v>
      </c>
      <c r="G150" s="10" t="s">
        <v>17</v>
      </c>
    </row>
    <row r="151" spans="1:7" x14ac:dyDescent="0.25">
      <c r="A151" s="6" t="s">
        <v>21</v>
      </c>
      <c r="B151" s="7" t="s">
        <v>244</v>
      </c>
      <c r="C151" s="8">
        <v>982209.87</v>
      </c>
      <c r="D151" s="8">
        <v>751.15</v>
      </c>
      <c r="E151" s="9">
        <v>7.6475509251398605E-4</v>
      </c>
      <c r="F151" s="10" t="s">
        <v>17</v>
      </c>
      <c r="G151" s="10" t="s">
        <v>17</v>
      </c>
    </row>
    <row r="152" spans="1:7" x14ac:dyDescent="0.25">
      <c r="A152" s="6" t="s">
        <v>22</v>
      </c>
      <c r="B152" s="7" t="s">
        <v>278</v>
      </c>
      <c r="C152" s="8">
        <v>694754.33</v>
      </c>
      <c r="D152" s="8">
        <v>292102.48</v>
      </c>
      <c r="E152" s="9">
        <v>0.42043995609210499</v>
      </c>
      <c r="F152" s="10" t="s">
        <v>17</v>
      </c>
      <c r="G152" s="10" t="s">
        <v>17</v>
      </c>
    </row>
    <row r="153" spans="1:7" x14ac:dyDescent="0.25">
      <c r="A153" s="6" t="s">
        <v>23</v>
      </c>
      <c r="B153" s="7" t="s">
        <v>325</v>
      </c>
      <c r="C153" s="8">
        <v>589922</v>
      </c>
      <c r="D153" s="8">
        <v>589922</v>
      </c>
      <c r="E153" s="9">
        <v>1</v>
      </c>
      <c r="F153" s="10" t="s">
        <v>17</v>
      </c>
      <c r="G153" s="10" t="s">
        <v>17</v>
      </c>
    </row>
    <row r="154" spans="1:7" x14ac:dyDescent="0.25">
      <c r="A154" s="6" t="s">
        <v>24</v>
      </c>
      <c r="B154" s="7" t="s">
        <v>182</v>
      </c>
      <c r="C154" s="8">
        <v>516673.13</v>
      </c>
      <c r="D154" s="8">
        <v>516673.13</v>
      </c>
      <c r="E154" s="9">
        <v>1</v>
      </c>
      <c r="F154" s="10" t="s">
        <v>17</v>
      </c>
      <c r="G154" s="10" t="s">
        <v>17</v>
      </c>
    </row>
    <row r="155" spans="1:7" x14ac:dyDescent="0.25">
      <c r="A155" s="6" t="s">
        <v>25</v>
      </c>
      <c r="B155" s="7" t="s">
        <v>189</v>
      </c>
      <c r="C155" s="8">
        <v>298540.15999999997</v>
      </c>
      <c r="D155" s="8">
        <v>298540.15999999997</v>
      </c>
      <c r="E155" s="9">
        <v>1</v>
      </c>
      <c r="F155" s="10" t="s">
        <v>17</v>
      </c>
      <c r="G155" s="10" t="s">
        <v>17</v>
      </c>
    </row>
    <row r="156" spans="1:7" x14ac:dyDescent="0.25">
      <c r="A156" s="6" t="s">
        <v>26</v>
      </c>
      <c r="B156" s="7" t="s">
        <v>280</v>
      </c>
      <c r="C156" s="8">
        <v>231399.94</v>
      </c>
      <c r="D156" s="8">
        <v>887.73</v>
      </c>
      <c r="E156" s="9">
        <v>3.8363449878163298E-3</v>
      </c>
      <c r="F156" s="10" t="s">
        <v>17</v>
      </c>
      <c r="G156" s="10" t="s">
        <v>17</v>
      </c>
    </row>
    <row r="157" spans="1:7" x14ac:dyDescent="0.25">
      <c r="A157" s="6" t="s">
        <v>27</v>
      </c>
      <c r="B157" s="7" t="s">
        <v>173</v>
      </c>
      <c r="C157" s="8">
        <v>209374.96</v>
      </c>
      <c r="D157" s="8">
        <v>28541.66</v>
      </c>
      <c r="E157" s="9">
        <v>0.13631840216232199</v>
      </c>
      <c r="F157" s="10" t="s">
        <v>17</v>
      </c>
      <c r="G157" s="10" t="s">
        <v>17</v>
      </c>
    </row>
    <row r="158" spans="1:7" x14ac:dyDescent="0.25">
      <c r="A158" s="6" t="s">
        <v>28</v>
      </c>
      <c r="B158" s="7" t="s">
        <v>205</v>
      </c>
      <c r="C158" s="8">
        <v>205650.99</v>
      </c>
      <c r="D158" s="8">
        <v>23301.82</v>
      </c>
      <c r="E158" s="9">
        <v>0.113307599443115</v>
      </c>
      <c r="F158" s="10" t="s">
        <v>17</v>
      </c>
      <c r="G158" s="10" t="s">
        <v>17</v>
      </c>
    </row>
    <row r="159" spans="1:7" x14ac:dyDescent="0.25">
      <c r="A159" s="6" t="s">
        <v>29</v>
      </c>
      <c r="B159" s="7" t="s">
        <v>186</v>
      </c>
      <c r="C159" s="8">
        <v>202257.15</v>
      </c>
      <c r="D159" s="8">
        <v>202257.15</v>
      </c>
      <c r="E159" s="9">
        <v>1</v>
      </c>
      <c r="F159" s="10" t="s">
        <v>17</v>
      </c>
      <c r="G159" s="10" t="s">
        <v>17</v>
      </c>
    </row>
    <row r="160" spans="1:7" x14ac:dyDescent="0.25">
      <c r="A160" s="6" t="s">
        <v>30</v>
      </c>
      <c r="B160" s="7" t="s">
        <v>224</v>
      </c>
      <c r="C160" s="8">
        <v>201401.3</v>
      </c>
      <c r="D160" s="8">
        <v>201401.3</v>
      </c>
      <c r="E160" s="9">
        <v>1</v>
      </c>
      <c r="F160" s="10" t="s">
        <v>17</v>
      </c>
      <c r="G160" s="10" t="s">
        <v>17</v>
      </c>
    </row>
    <row r="161" spans="1:7" x14ac:dyDescent="0.25">
      <c r="A161" s="6" t="s">
        <v>31</v>
      </c>
      <c r="B161" s="7" t="s">
        <v>195</v>
      </c>
      <c r="C161" s="8">
        <v>171246.75</v>
      </c>
      <c r="D161" s="8">
        <v>70896.710000000006</v>
      </c>
      <c r="E161" s="9">
        <v>0.41400324385718301</v>
      </c>
      <c r="F161" s="10" t="s">
        <v>17</v>
      </c>
      <c r="G161" s="10" t="s">
        <v>17</v>
      </c>
    </row>
    <row r="162" spans="1:7" x14ac:dyDescent="0.25">
      <c r="A162" s="6" t="s">
        <v>32</v>
      </c>
      <c r="B162" s="7" t="s">
        <v>180</v>
      </c>
      <c r="C162" s="8">
        <v>157675.85</v>
      </c>
      <c r="D162" s="8">
        <v>1251.25</v>
      </c>
      <c r="E162" s="9">
        <v>7.9355843015908901E-3</v>
      </c>
      <c r="F162" s="10" t="s">
        <v>17</v>
      </c>
      <c r="G162" s="10" t="s">
        <v>17</v>
      </c>
    </row>
    <row r="163" spans="1:7" x14ac:dyDescent="0.25">
      <c r="A163" s="6" t="s">
        <v>33</v>
      </c>
      <c r="B163" s="7" t="s">
        <v>163</v>
      </c>
      <c r="C163" s="8">
        <v>150059.4</v>
      </c>
      <c r="D163" s="8">
        <v>50.14</v>
      </c>
      <c r="E163" s="9">
        <v>3.34134349464279E-4</v>
      </c>
      <c r="F163" s="10" t="s">
        <v>17</v>
      </c>
      <c r="G163" s="10" t="s">
        <v>17</v>
      </c>
    </row>
    <row r="164" spans="1:7" x14ac:dyDescent="0.25">
      <c r="A164" s="6" t="s">
        <v>34</v>
      </c>
      <c r="B164" s="7" t="s">
        <v>211</v>
      </c>
      <c r="C164" s="8">
        <v>143669.88</v>
      </c>
      <c r="D164" s="8">
        <v>12266.13</v>
      </c>
      <c r="E164" s="9">
        <v>8.5377185531163496E-2</v>
      </c>
      <c r="F164" s="10" t="s">
        <v>17</v>
      </c>
      <c r="G164" s="10" t="s">
        <v>17</v>
      </c>
    </row>
    <row r="165" spans="1:7" x14ac:dyDescent="0.25">
      <c r="A165" s="6" t="s">
        <v>35</v>
      </c>
      <c r="B165" s="7" t="s">
        <v>254</v>
      </c>
      <c r="C165" s="8">
        <v>139804.39000000001</v>
      </c>
      <c r="D165" s="8">
        <v>16531.11</v>
      </c>
      <c r="E165" s="9">
        <v>0.118244570145473</v>
      </c>
      <c r="F165" s="10" t="s">
        <v>17</v>
      </c>
      <c r="G165" s="10" t="s">
        <v>17</v>
      </c>
    </row>
    <row r="166" spans="1:7" x14ac:dyDescent="0.25">
      <c r="A166" s="6" t="s">
        <v>36</v>
      </c>
      <c r="B166" s="7" t="s">
        <v>279</v>
      </c>
      <c r="C166" s="8">
        <v>134908.72</v>
      </c>
      <c r="D166" s="8">
        <v>134908.72</v>
      </c>
      <c r="E166" s="9">
        <v>1</v>
      </c>
      <c r="F166" s="10" t="s">
        <v>17</v>
      </c>
      <c r="G166" s="10" t="s">
        <v>17</v>
      </c>
    </row>
    <row r="167" spans="1:7" x14ac:dyDescent="0.25">
      <c r="A167" s="6" t="s">
        <v>37</v>
      </c>
      <c r="B167" s="7" t="s">
        <v>187</v>
      </c>
      <c r="C167" s="8">
        <v>131167.23000000001</v>
      </c>
      <c r="D167" s="8">
        <v>131167.23000000001</v>
      </c>
      <c r="E167" s="9">
        <v>1</v>
      </c>
      <c r="F167" s="10" t="s">
        <v>17</v>
      </c>
      <c r="G167" s="10" t="s">
        <v>17</v>
      </c>
    </row>
    <row r="168" spans="1:7" x14ac:dyDescent="0.25">
      <c r="A168" s="6" t="s">
        <v>38</v>
      </c>
      <c r="B168" s="7" t="s">
        <v>303</v>
      </c>
      <c r="C168" s="8">
        <v>121006.87</v>
      </c>
      <c r="D168" s="8">
        <v>121006.87</v>
      </c>
      <c r="E168" s="9">
        <v>1</v>
      </c>
      <c r="F168" s="10" t="s">
        <v>17</v>
      </c>
      <c r="G168" s="10" t="s">
        <v>17</v>
      </c>
    </row>
    <row r="169" spans="1:7" x14ac:dyDescent="0.25">
      <c r="A169" s="6" t="s">
        <v>39</v>
      </c>
      <c r="B169" s="7" t="s">
        <v>215</v>
      </c>
      <c r="C169" s="8">
        <v>119549.2</v>
      </c>
      <c r="D169" s="8">
        <v>935.69</v>
      </c>
      <c r="E169" s="9">
        <v>7.8268194182813406E-3</v>
      </c>
      <c r="F169" s="10" t="s">
        <v>17</v>
      </c>
      <c r="G169" s="10" t="s">
        <v>17</v>
      </c>
    </row>
    <row r="170" spans="1:7" x14ac:dyDescent="0.25">
      <c r="A170" s="6" t="s">
        <v>40</v>
      </c>
      <c r="B170" s="7" t="s">
        <v>308</v>
      </c>
      <c r="C170" s="8">
        <v>99770.111399999994</v>
      </c>
      <c r="D170" s="8">
        <v>2017.19</v>
      </c>
      <c r="E170" s="9">
        <v>2.0218379750150301E-2</v>
      </c>
      <c r="F170" s="10" t="s">
        <v>17</v>
      </c>
      <c r="G170" s="10" t="s">
        <v>17</v>
      </c>
    </row>
    <row r="171" spans="1:7" x14ac:dyDescent="0.25">
      <c r="A171" s="6" t="s">
        <v>41</v>
      </c>
      <c r="B171" s="7" t="s">
        <v>294</v>
      </c>
      <c r="C171" s="8">
        <v>83125.63</v>
      </c>
      <c r="D171" s="8">
        <v>46107.81</v>
      </c>
      <c r="E171" s="9">
        <v>0.55467621719077498</v>
      </c>
      <c r="F171" s="10" t="s">
        <v>17</v>
      </c>
      <c r="G171" s="10" t="s">
        <v>17</v>
      </c>
    </row>
    <row r="172" spans="1:7" x14ac:dyDescent="0.25">
      <c r="A172" s="6" t="s">
        <v>42</v>
      </c>
      <c r="B172" s="7" t="s">
        <v>184</v>
      </c>
      <c r="C172" s="8">
        <v>80131.839999999997</v>
      </c>
      <c r="D172" s="8">
        <v>80131.839999999997</v>
      </c>
      <c r="E172" s="9">
        <v>1</v>
      </c>
      <c r="F172" s="10" t="s">
        <v>17</v>
      </c>
      <c r="G172" s="10" t="s">
        <v>17</v>
      </c>
    </row>
    <row r="173" spans="1:7" x14ac:dyDescent="0.25">
      <c r="A173" s="6" t="s">
        <v>43</v>
      </c>
      <c r="B173" s="7" t="s">
        <v>280</v>
      </c>
      <c r="C173" s="8">
        <v>76760.56</v>
      </c>
      <c r="D173" s="8">
        <v>1167</v>
      </c>
      <c r="E173" s="9">
        <v>1.5203119935550201E-2</v>
      </c>
      <c r="F173" s="10" t="s">
        <v>17</v>
      </c>
      <c r="G173" s="10" t="s">
        <v>17</v>
      </c>
    </row>
    <row r="174" spans="1:7" x14ac:dyDescent="0.25">
      <c r="A174" s="6" t="s">
        <v>44</v>
      </c>
      <c r="B174" s="7" t="s">
        <v>284</v>
      </c>
      <c r="C174" s="8">
        <v>58907.43</v>
      </c>
      <c r="D174" s="8">
        <v>11230.33</v>
      </c>
      <c r="E174" s="9">
        <v>0.190643692994245</v>
      </c>
      <c r="F174" s="10" t="s">
        <v>17</v>
      </c>
      <c r="G174" s="10" t="s">
        <v>17</v>
      </c>
    </row>
    <row r="175" spans="1:7" x14ac:dyDescent="0.25">
      <c r="A175" s="6" t="s">
        <v>45</v>
      </c>
      <c r="B175" s="7" t="s">
        <v>175</v>
      </c>
      <c r="C175" s="8">
        <v>57342.77</v>
      </c>
      <c r="D175" s="8">
        <v>57342.77</v>
      </c>
      <c r="E175" s="9">
        <v>1</v>
      </c>
      <c r="F175" s="10" t="s">
        <v>17</v>
      </c>
      <c r="G175" s="10" t="s">
        <v>17</v>
      </c>
    </row>
    <row r="176" spans="1:7" x14ac:dyDescent="0.25">
      <c r="A176" s="6" t="s">
        <v>46</v>
      </c>
      <c r="B176" s="7" t="s">
        <v>227</v>
      </c>
      <c r="C176" s="8">
        <v>50059.42</v>
      </c>
      <c r="D176" s="8">
        <v>50059.42</v>
      </c>
      <c r="E176" s="9">
        <v>1</v>
      </c>
      <c r="F176" s="10" t="s">
        <v>17</v>
      </c>
      <c r="G176" s="10" t="s">
        <v>17</v>
      </c>
    </row>
    <row r="177" spans="1:7" x14ac:dyDescent="0.25">
      <c r="A177" s="6" t="s">
        <v>47</v>
      </c>
      <c r="B177" s="7" t="s">
        <v>248</v>
      </c>
      <c r="C177" s="8">
        <v>37314.75</v>
      </c>
      <c r="D177" s="8">
        <v>37314.75</v>
      </c>
      <c r="E177" s="9">
        <v>1</v>
      </c>
      <c r="F177" s="10" t="s">
        <v>17</v>
      </c>
      <c r="G177" s="10" t="s">
        <v>17</v>
      </c>
    </row>
    <row r="178" spans="1:7" x14ac:dyDescent="0.25">
      <c r="A178" s="6" t="s">
        <v>48</v>
      </c>
      <c r="B178" s="7" t="s">
        <v>261</v>
      </c>
      <c r="C178" s="8">
        <v>35610.19</v>
      </c>
      <c r="D178" s="8">
        <v>9833.81</v>
      </c>
      <c r="E178" s="9">
        <v>0.276151573468156</v>
      </c>
      <c r="F178" s="10" t="s">
        <v>17</v>
      </c>
      <c r="G178" s="10" t="s">
        <v>17</v>
      </c>
    </row>
    <row r="179" spans="1:7" x14ac:dyDescent="0.25">
      <c r="A179" s="6" t="s">
        <v>49</v>
      </c>
      <c r="B179" s="7" t="s">
        <v>190</v>
      </c>
      <c r="C179" s="8">
        <v>33618.79</v>
      </c>
      <c r="D179" s="8">
        <v>33618.79</v>
      </c>
      <c r="E179" s="9">
        <v>1</v>
      </c>
      <c r="F179" s="10" t="s">
        <v>17</v>
      </c>
      <c r="G179" s="10" t="s">
        <v>17</v>
      </c>
    </row>
    <row r="180" spans="1:7" x14ac:dyDescent="0.25">
      <c r="A180" s="6" t="s">
        <v>50</v>
      </c>
      <c r="B180" s="7" t="s">
        <v>220</v>
      </c>
      <c r="C180" s="8">
        <v>20872.25</v>
      </c>
      <c r="D180" s="8">
        <v>20872.25</v>
      </c>
      <c r="E180" s="9">
        <v>1</v>
      </c>
      <c r="F180" s="10" t="s">
        <v>17</v>
      </c>
      <c r="G180" s="10" t="s">
        <v>17</v>
      </c>
    </row>
    <row r="181" spans="1:7" x14ac:dyDescent="0.25">
      <c r="A181" s="6" t="s">
        <v>51</v>
      </c>
      <c r="B181" s="7" t="s">
        <v>285</v>
      </c>
      <c r="C181" s="8">
        <v>20002.439999999999</v>
      </c>
      <c r="D181" s="8">
        <v>20002.439999999999</v>
      </c>
      <c r="E181" s="9">
        <v>1</v>
      </c>
      <c r="F181" s="10" t="s">
        <v>17</v>
      </c>
      <c r="G181" s="10" t="s">
        <v>17</v>
      </c>
    </row>
    <row r="182" spans="1:7" x14ac:dyDescent="0.25">
      <c r="A182" s="6" t="s">
        <v>52</v>
      </c>
      <c r="B182" s="7" t="s">
        <v>287</v>
      </c>
      <c r="C182" s="8">
        <v>11637.59</v>
      </c>
      <c r="D182" s="8">
        <v>285.43</v>
      </c>
      <c r="E182" s="9">
        <v>2.45265557559598E-2</v>
      </c>
      <c r="F182" s="10" t="s">
        <v>17</v>
      </c>
      <c r="G182" s="10" t="s">
        <v>17</v>
      </c>
    </row>
    <row r="183" spans="1:7" x14ac:dyDescent="0.25">
      <c r="A183" s="6" t="s">
        <v>53</v>
      </c>
      <c r="B183" s="7" t="s">
        <v>238</v>
      </c>
      <c r="C183" s="8">
        <v>6200.58</v>
      </c>
      <c r="D183" s="8">
        <v>66.16</v>
      </c>
      <c r="E183" s="9">
        <v>1.0669969583490599E-2</v>
      </c>
      <c r="F183" s="10" t="s">
        <v>17</v>
      </c>
      <c r="G183" s="10" t="s">
        <v>17</v>
      </c>
    </row>
    <row r="184" spans="1:7" x14ac:dyDescent="0.25">
      <c r="A184" s="6" t="s">
        <v>54</v>
      </c>
      <c r="B184" s="7" t="s">
        <v>261</v>
      </c>
      <c r="C184" s="8">
        <v>5505.76</v>
      </c>
      <c r="D184" s="8">
        <v>5505.76</v>
      </c>
      <c r="E184" s="9">
        <v>1</v>
      </c>
      <c r="F184" s="10" t="s">
        <v>17</v>
      </c>
      <c r="G184" s="10" t="s">
        <v>17</v>
      </c>
    </row>
    <row r="185" spans="1:7" x14ac:dyDescent="0.25">
      <c r="A185" s="6" t="s">
        <v>55</v>
      </c>
      <c r="B185" s="7" t="s">
        <v>288</v>
      </c>
      <c r="C185" s="8">
        <v>4954.3500000000004</v>
      </c>
      <c r="D185" s="8">
        <v>948.17</v>
      </c>
      <c r="E185" s="9">
        <v>0.19138131137283401</v>
      </c>
      <c r="F185" s="10" t="s">
        <v>17</v>
      </c>
      <c r="G185" s="10" t="s">
        <v>17</v>
      </c>
    </row>
    <row r="186" spans="1:7" x14ac:dyDescent="0.25">
      <c r="A186" s="6" t="s">
        <v>56</v>
      </c>
      <c r="B186" s="7" t="s">
        <v>326</v>
      </c>
      <c r="C186" s="8">
        <v>2496.69</v>
      </c>
      <c r="D186" s="8">
        <v>2496.69</v>
      </c>
      <c r="E186" s="9">
        <v>1</v>
      </c>
      <c r="F186" s="10" t="s">
        <v>17</v>
      </c>
      <c r="G186" s="10" t="s">
        <v>17</v>
      </c>
    </row>
    <row r="187" spans="1:7" x14ac:dyDescent="0.25">
      <c r="A187" s="6" t="s">
        <v>57</v>
      </c>
      <c r="B187" s="7" t="s">
        <v>305</v>
      </c>
      <c r="C187" s="8">
        <v>1758.53</v>
      </c>
      <c r="D187" s="8">
        <v>1758.53</v>
      </c>
      <c r="E187" s="9">
        <v>1</v>
      </c>
      <c r="F187" s="10" t="s">
        <v>17</v>
      </c>
      <c r="G187" s="10" t="s">
        <v>17</v>
      </c>
    </row>
    <row r="188" spans="1:7" x14ac:dyDescent="0.25">
      <c r="A188" s="6" t="s">
        <v>58</v>
      </c>
      <c r="B188" s="7" t="s">
        <v>202</v>
      </c>
      <c r="C188" s="8">
        <v>1566.35</v>
      </c>
      <c r="D188" s="8">
        <v>19.43</v>
      </c>
      <c r="E188" s="9">
        <v>1.24046349794107E-2</v>
      </c>
      <c r="F188" s="10" t="s">
        <v>17</v>
      </c>
      <c r="G188" s="10" t="s">
        <v>17</v>
      </c>
    </row>
    <row r="189" spans="1:7" x14ac:dyDescent="0.25">
      <c r="A189" s="6" t="s">
        <v>59</v>
      </c>
      <c r="B189" s="7" t="s">
        <v>289</v>
      </c>
      <c r="C189" s="8">
        <v>1275.43</v>
      </c>
      <c r="D189" s="8">
        <v>54.98</v>
      </c>
      <c r="E189" s="9">
        <v>4.3107030570082201E-2</v>
      </c>
      <c r="F189" s="10" t="s">
        <v>17</v>
      </c>
      <c r="G189" s="10" t="s">
        <v>17</v>
      </c>
    </row>
    <row r="190" spans="1:7" x14ac:dyDescent="0.25">
      <c r="A190" s="6" t="s">
        <v>60</v>
      </c>
      <c r="B190" s="7" t="s">
        <v>327</v>
      </c>
      <c r="C190" s="8">
        <v>1150.42</v>
      </c>
      <c r="D190" s="8">
        <v>1150.42</v>
      </c>
      <c r="E190" s="9">
        <v>1</v>
      </c>
      <c r="F190" s="10" t="s">
        <v>17</v>
      </c>
      <c r="G190" s="10" t="s">
        <v>17</v>
      </c>
    </row>
    <row r="191" spans="1:7" x14ac:dyDescent="0.25">
      <c r="A191" s="6" t="s">
        <v>61</v>
      </c>
      <c r="B191" s="7" t="s">
        <v>314</v>
      </c>
      <c r="C191" s="8">
        <v>1000.42</v>
      </c>
      <c r="D191" s="8">
        <v>1000.42</v>
      </c>
      <c r="E191" s="9">
        <v>1</v>
      </c>
      <c r="F191" s="10" t="s">
        <v>17</v>
      </c>
      <c r="G191" s="10" t="s">
        <v>17</v>
      </c>
    </row>
    <row r="192" spans="1:7" x14ac:dyDescent="0.25">
      <c r="A192" s="6" t="s">
        <v>62</v>
      </c>
      <c r="B192" s="7" t="s">
        <v>295</v>
      </c>
      <c r="C192" s="8">
        <v>901.87</v>
      </c>
      <c r="D192" s="8">
        <v>901.87</v>
      </c>
      <c r="E192" s="9">
        <v>1</v>
      </c>
      <c r="F192" s="10" t="s">
        <v>17</v>
      </c>
      <c r="G192" s="10" t="s">
        <v>17</v>
      </c>
    </row>
    <row r="193" spans="1:7" x14ac:dyDescent="0.25">
      <c r="A193" s="6" t="s">
        <v>63</v>
      </c>
      <c r="B193" s="7" t="s">
        <v>290</v>
      </c>
      <c r="C193" s="8">
        <v>643.11</v>
      </c>
      <c r="D193" s="8">
        <v>89.51</v>
      </c>
      <c r="E193" s="9">
        <v>0.13918303245168001</v>
      </c>
      <c r="F193" s="10" t="s">
        <v>17</v>
      </c>
      <c r="G193" s="10" t="s">
        <v>17</v>
      </c>
    </row>
    <row r="194" spans="1:7" x14ac:dyDescent="0.25">
      <c r="A194" s="6" t="s">
        <v>64</v>
      </c>
      <c r="B194" s="7" t="s">
        <v>204</v>
      </c>
      <c r="C194" s="8">
        <v>21.6</v>
      </c>
      <c r="D194" s="8">
        <v>21.6</v>
      </c>
      <c r="E194" s="9">
        <v>1</v>
      </c>
      <c r="F194" s="10" t="s">
        <v>17</v>
      </c>
      <c r="G194" s="10" t="s">
        <v>17</v>
      </c>
    </row>
    <row r="195" spans="1:7" x14ac:dyDescent="0.25">
      <c r="A195" s="6" t="s">
        <v>65</v>
      </c>
      <c r="B195" s="7" t="s">
        <v>271</v>
      </c>
      <c r="C195" s="8">
        <v>20.07</v>
      </c>
      <c r="D195" s="8">
        <v>20.07</v>
      </c>
      <c r="E195" s="9">
        <v>1</v>
      </c>
      <c r="F195" s="10" t="s">
        <v>17</v>
      </c>
      <c r="G195" s="10" t="s">
        <v>17</v>
      </c>
    </row>
    <row r="196" spans="1:7" x14ac:dyDescent="0.25">
      <c r="A196" s="6" t="s">
        <v>66</v>
      </c>
      <c r="B196" s="7" t="s">
        <v>297</v>
      </c>
      <c r="C196" s="8">
        <v>6.87</v>
      </c>
      <c r="D196" s="8">
        <v>6.87</v>
      </c>
      <c r="E196" s="9">
        <v>1</v>
      </c>
      <c r="F196" s="10" t="s">
        <v>17</v>
      </c>
      <c r="G196" s="10" t="s">
        <v>17</v>
      </c>
    </row>
    <row r="197" spans="1:7" x14ac:dyDescent="0.25">
      <c r="A197" s="6" t="s">
        <v>67</v>
      </c>
      <c r="B197" s="7" t="s">
        <v>296</v>
      </c>
      <c r="C197" s="8">
        <v>3.17</v>
      </c>
      <c r="D197" s="8">
        <v>3.17</v>
      </c>
      <c r="E197" s="9">
        <v>1</v>
      </c>
      <c r="F197" s="10" t="s">
        <v>17</v>
      </c>
      <c r="G197" s="10" t="s">
        <v>17</v>
      </c>
    </row>
    <row r="198" spans="1:7" x14ac:dyDescent="0.25">
      <c r="A198" s="6" t="s">
        <v>68</v>
      </c>
      <c r="B198" s="7" t="s">
        <v>281</v>
      </c>
      <c r="C198" s="8">
        <v>0.33</v>
      </c>
      <c r="D198" s="8">
        <v>0.33</v>
      </c>
      <c r="E198" s="9">
        <v>1</v>
      </c>
      <c r="F198" s="10" t="s">
        <v>17</v>
      </c>
      <c r="G198" s="10" t="s">
        <v>17</v>
      </c>
    </row>
    <row r="199" spans="1:7" x14ac:dyDescent="0.25">
      <c r="A199" s="6" t="s">
        <v>69</v>
      </c>
      <c r="B199" s="7" t="s">
        <v>164</v>
      </c>
      <c r="C199" s="8">
        <v>0.03</v>
      </c>
      <c r="D199" s="8">
        <v>0.03</v>
      </c>
      <c r="E199" s="9">
        <v>1</v>
      </c>
      <c r="F199" s="10" t="s">
        <v>17</v>
      </c>
      <c r="G199" s="10" t="s">
        <v>17</v>
      </c>
    </row>
    <row r="200" spans="1:7" x14ac:dyDescent="0.25">
      <c r="A200" s="6" t="s">
        <v>70</v>
      </c>
      <c r="B200" s="7" t="s">
        <v>230</v>
      </c>
      <c r="C200" s="8">
        <v>0.01</v>
      </c>
      <c r="D200" s="8">
        <v>0.01</v>
      </c>
      <c r="E200" s="9">
        <v>1</v>
      </c>
      <c r="F200" s="10" t="s">
        <v>17</v>
      </c>
      <c r="G200" s="10" t="s">
        <v>17</v>
      </c>
    </row>
    <row r="201" spans="1:7" x14ac:dyDescent="0.25">
      <c r="A201" s="6" t="s">
        <v>71</v>
      </c>
      <c r="B201" s="7" t="s">
        <v>208</v>
      </c>
      <c r="C201" s="8">
        <v>0.01</v>
      </c>
      <c r="D201" s="8">
        <v>0.01</v>
      </c>
      <c r="E201" s="9">
        <v>1</v>
      </c>
      <c r="F201" s="10" t="s">
        <v>17</v>
      </c>
      <c r="G201" s="10" t="s">
        <v>17</v>
      </c>
    </row>
    <row r="202" spans="1:7" x14ac:dyDescent="0.25">
      <c r="A202" s="6" t="s">
        <v>72</v>
      </c>
      <c r="B202" s="7" t="s">
        <v>286</v>
      </c>
      <c r="C202" s="8">
        <v>0</v>
      </c>
      <c r="D202" s="8">
        <v>0</v>
      </c>
      <c r="E202" s="9">
        <v>0</v>
      </c>
      <c r="F202" s="10" t="s">
        <v>17</v>
      </c>
      <c r="G202" s="10" t="s">
        <v>17</v>
      </c>
    </row>
    <row r="203" spans="1:7" x14ac:dyDescent="0.25">
      <c r="A203" s="6" t="s">
        <v>73</v>
      </c>
      <c r="B203" s="7" t="s">
        <v>210</v>
      </c>
      <c r="C203" s="8">
        <v>0</v>
      </c>
      <c r="D203" s="8">
        <v>0</v>
      </c>
      <c r="E203" s="9">
        <v>0</v>
      </c>
      <c r="F203" s="10" t="s">
        <v>17</v>
      </c>
      <c r="G203" s="10" t="s">
        <v>17</v>
      </c>
    </row>
    <row r="204" spans="1:7" x14ac:dyDescent="0.25">
      <c r="A204" s="6" t="s">
        <v>74</v>
      </c>
      <c r="B204" s="7" t="s">
        <v>219</v>
      </c>
      <c r="C204" s="8">
        <v>0</v>
      </c>
      <c r="D204" s="8">
        <v>0</v>
      </c>
      <c r="E204" s="9">
        <v>0</v>
      </c>
      <c r="F204" s="10" t="s">
        <v>17</v>
      </c>
      <c r="G204" s="10" t="s">
        <v>17</v>
      </c>
    </row>
    <row r="205" spans="1:7" x14ac:dyDescent="0.25">
      <c r="A205" s="6" t="s">
        <v>75</v>
      </c>
      <c r="B205" s="7" t="s">
        <v>262</v>
      </c>
      <c r="C205" s="8">
        <v>0</v>
      </c>
      <c r="D205" s="8">
        <v>0</v>
      </c>
      <c r="E205" s="9">
        <v>0</v>
      </c>
      <c r="F205" s="10" t="s">
        <v>17</v>
      </c>
      <c r="G205" s="10" t="s">
        <v>17</v>
      </c>
    </row>
    <row r="206" spans="1:7" x14ac:dyDescent="0.25">
      <c r="A206" s="6" t="s">
        <v>76</v>
      </c>
      <c r="B206" s="7" t="s">
        <v>282</v>
      </c>
      <c r="C206" s="8">
        <v>0</v>
      </c>
      <c r="D206" s="8">
        <v>0</v>
      </c>
      <c r="E206" s="9">
        <v>0</v>
      </c>
      <c r="F206" s="10" t="s">
        <v>17</v>
      </c>
      <c r="G206" s="10" t="s">
        <v>17</v>
      </c>
    </row>
    <row r="207" spans="1:7" x14ac:dyDescent="0.25">
      <c r="A207" s="6" t="s">
        <v>77</v>
      </c>
      <c r="B207" s="7" t="s">
        <v>229</v>
      </c>
      <c r="C207" s="8">
        <v>0</v>
      </c>
      <c r="D207" s="8">
        <v>0</v>
      </c>
      <c r="E207" s="9">
        <v>0</v>
      </c>
      <c r="F207" s="10" t="s">
        <v>17</v>
      </c>
      <c r="G207" s="10" t="s">
        <v>17</v>
      </c>
    </row>
    <row r="208" spans="1:7" x14ac:dyDescent="0.25">
      <c r="A208" s="6" t="s">
        <v>78</v>
      </c>
      <c r="B208" s="7" t="s">
        <v>221</v>
      </c>
      <c r="C208" s="8">
        <v>0</v>
      </c>
      <c r="D208" s="8">
        <v>0</v>
      </c>
      <c r="E208" s="9">
        <v>0</v>
      </c>
      <c r="F208" s="10" t="s">
        <v>17</v>
      </c>
      <c r="G208" s="10" t="s">
        <v>17</v>
      </c>
    </row>
    <row r="209" spans="2:5" x14ac:dyDescent="0.25">
      <c r="C209" s="8"/>
      <c r="D209" s="8"/>
      <c r="E209" s="9"/>
    </row>
    <row r="214" spans="2:5" x14ac:dyDescent="0.25">
      <c r="B214" s="20" t="s">
        <v>273</v>
      </c>
      <c r="C214" s="21">
        <f>SUM(C2:C146)</f>
        <v>91655067.848200038</v>
      </c>
      <c r="D214" s="21">
        <f>SUM(D2:D146)</f>
        <v>26169528.75999999</v>
      </c>
      <c r="E214" s="22">
        <f>(D214 / C214)</f>
        <v>0.28552189610881312</v>
      </c>
    </row>
    <row r="218" spans="2:5" x14ac:dyDescent="0.25">
      <c r="B218" s="20" t="s">
        <v>272</v>
      </c>
      <c r="C218" s="21">
        <f>SUM(C147:C212)</f>
        <v>11496863.971399996</v>
      </c>
      <c r="D218" s="21">
        <f>SUM(D147:D212)</f>
        <v>7348322.4100000011</v>
      </c>
      <c r="E218" s="22">
        <f>(D218 / C218)</f>
        <v>0.63915885482162327</v>
      </c>
    </row>
    <row r="222" spans="2:5" x14ac:dyDescent="0.25">
      <c r="B222" s="20" t="s">
        <v>274</v>
      </c>
      <c r="C222" s="21">
        <f>SUM(C2:C218) / 2</f>
        <v>103151931.81960003</v>
      </c>
      <c r="D222" s="21">
        <f>SUM(D2:D218) / 2</f>
        <v>33517851.170000002</v>
      </c>
      <c r="E222" s="22">
        <f>(D222 / C222)</f>
        <v>0.32493672758953829</v>
      </c>
    </row>
  </sheetData>
  <pageMargins left="0.7" right="0.7" top="0.75" bottom="0.75" header="0.3" footer="0.3"/>
  <pageSetup orientation="landscape" r:id="rId1"/>
  <headerFooter>
    <oddHeader>&amp;R&amp;B&amp;12As of &amp;D&amp;C&amp;B&amp;12Sunset West Daily Cash Percentage Report</oddHeader>
    <oddFooter>&amp;C&amp;B&amp;12&amp;P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63DDF-46B4-4CC6-906C-C8913522967D}">
  <dimension ref="A1:G222"/>
  <sheetViews>
    <sheetView workbookViewId="0">
      <selection activeCell="F53" sqref="F53"/>
    </sheetView>
  </sheetViews>
  <sheetFormatPr defaultRowHeight="15.75" x14ac:dyDescent="0.25"/>
  <cols>
    <col min="1" max="1" width="5" style="10" bestFit="1" customWidth="1"/>
    <col min="2" max="2" width="26.28515625" style="7" customWidth="1"/>
    <col min="3" max="3" width="15.140625" style="10" customWidth="1"/>
    <col min="4" max="4" width="14" style="10" customWidth="1"/>
    <col min="5" max="5" width="9.140625" style="10"/>
    <col min="6" max="6" width="9.7109375" style="10" customWidth="1"/>
    <col min="7" max="7" width="10.42578125" style="10" customWidth="1"/>
    <col min="8" max="16384" width="9.140625" style="1"/>
  </cols>
  <sheetData>
    <row r="1" spans="1:7" ht="31.5" x14ac:dyDescent="0.25">
      <c r="A1" s="18"/>
      <c r="B1" s="2" t="s">
        <v>157</v>
      </c>
      <c r="C1" s="3" t="s">
        <v>158</v>
      </c>
      <c r="D1" s="3" t="s">
        <v>159</v>
      </c>
      <c r="E1" s="4" t="s">
        <v>160</v>
      </c>
      <c r="F1" s="5" t="s">
        <v>161</v>
      </c>
      <c r="G1" s="5" t="s">
        <v>162</v>
      </c>
    </row>
    <row r="2" spans="1:7" x14ac:dyDescent="0.25">
      <c r="A2" s="6" t="s">
        <v>18</v>
      </c>
      <c r="B2" s="7" t="s">
        <v>163</v>
      </c>
      <c r="C2" s="8">
        <v>5037039.3600000003</v>
      </c>
      <c r="D2" s="8">
        <v>1020459.39</v>
      </c>
      <c r="E2" s="9">
        <v>0.20259110899621799</v>
      </c>
      <c r="F2" s="10" t="s">
        <v>0</v>
      </c>
      <c r="G2" s="11">
        <f>(D2 / F2)</f>
        <v>75.589584444444441</v>
      </c>
    </row>
    <row r="3" spans="1:7" x14ac:dyDescent="0.25">
      <c r="A3" s="6" t="s">
        <v>19</v>
      </c>
      <c r="B3" s="7" t="s">
        <v>297</v>
      </c>
      <c r="C3" s="8">
        <v>4925068.3899999997</v>
      </c>
      <c r="D3" s="8">
        <v>4925068.3899999997</v>
      </c>
      <c r="E3" s="9">
        <v>1</v>
      </c>
      <c r="F3" s="10" t="s">
        <v>17</v>
      </c>
      <c r="G3" s="10" t="s">
        <v>17</v>
      </c>
    </row>
    <row r="4" spans="1:7" x14ac:dyDescent="0.25">
      <c r="A4" s="6" t="s">
        <v>20</v>
      </c>
      <c r="B4" s="7" t="s">
        <v>168</v>
      </c>
      <c r="C4" s="8">
        <v>4300900.6100000003</v>
      </c>
      <c r="D4" s="8">
        <v>1372802.25</v>
      </c>
      <c r="E4" s="9">
        <v>0.31918948482745801</v>
      </c>
      <c r="F4" s="10" t="s">
        <v>17</v>
      </c>
      <c r="G4" s="10" t="s">
        <v>17</v>
      </c>
    </row>
    <row r="5" spans="1:7" x14ac:dyDescent="0.25">
      <c r="A5" s="6" t="s">
        <v>21</v>
      </c>
      <c r="B5" s="7" t="s">
        <v>165</v>
      </c>
      <c r="C5" s="8">
        <v>3342511.0052</v>
      </c>
      <c r="D5" s="8">
        <v>697381.92</v>
      </c>
      <c r="E5" s="9">
        <v>0.20864012681336599</v>
      </c>
      <c r="F5" s="10" t="s">
        <v>17</v>
      </c>
      <c r="G5" s="10" t="s">
        <v>17</v>
      </c>
    </row>
    <row r="6" spans="1:7" x14ac:dyDescent="0.25">
      <c r="A6" s="6" t="s">
        <v>22</v>
      </c>
      <c r="B6" s="7" t="s">
        <v>166</v>
      </c>
      <c r="C6" s="8">
        <v>2962633.24</v>
      </c>
      <c r="D6" s="8">
        <v>504829.06</v>
      </c>
      <c r="E6" s="9">
        <v>0.17039876998072201</v>
      </c>
      <c r="F6" s="10" t="s">
        <v>17</v>
      </c>
      <c r="G6" s="10" t="s">
        <v>17</v>
      </c>
    </row>
    <row r="7" spans="1:7" x14ac:dyDescent="0.25">
      <c r="A7" s="6" t="s">
        <v>23</v>
      </c>
      <c r="B7" s="7" t="s">
        <v>164</v>
      </c>
      <c r="C7" s="8">
        <v>2955089.66</v>
      </c>
      <c r="D7" s="8">
        <v>557659.41</v>
      </c>
      <c r="E7" s="9">
        <v>0.18871150258093999</v>
      </c>
      <c r="F7" s="10" t="s">
        <v>1</v>
      </c>
      <c r="G7" s="11">
        <f>(D7 / F7)</f>
        <v>60.418137594799568</v>
      </c>
    </row>
    <row r="8" spans="1:7" x14ac:dyDescent="0.25">
      <c r="A8" s="6" t="s">
        <v>24</v>
      </c>
      <c r="B8" s="7" t="s">
        <v>167</v>
      </c>
      <c r="C8" s="8">
        <v>2588185.21</v>
      </c>
      <c r="D8" s="8">
        <v>1100813.6100000001</v>
      </c>
      <c r="E8" s="9">
        <v>0.42532257960009001</v>
      </c>
      <c r="F8" s="10" t="s">
        <v>2</v>
      </c>
      <c r="G8" s="11">
        <f>(D8 / F8)</f>
        <v>428.66573598130844</v>
      </c>
    </row>
    <row r="9" spans="1:7" x14ac:dyDescent="0.25">
      <c r="A9" s="6" t="s">
        <v>25</v>
      </c>
      <c r="B9" s="7" t="s">
        <v>169</v>
      </c>
      <c r="C9" s="8">
        <v>2294834.87</v>
      </c>
      <c r="D9" s="8">
        <v>350229.88</v>
      </c>
      <c r="E9" s="9">
        <v>0.152616593280195</v>
      </c>
      <c r="F9" s="10" t="s">
        <v>293</v>
      </c>
      <c r="G9" s="11">
        <f>(D9 / F9)</f>
        <v>36.866303157894734</v>
      </c>
    </row>
    <row r="10" spans="1:7" x14ac:dyDescent="0.25">
      <c r="A10" s="6" t="s">
        <v>26</v>
      </c>
      <c r="B10" s="7" t="s">
        <v>170</v>
      </c>
      <c r="C10" s="8">
        <v>2125288.62</v>
      </c>
      <c r="D10" s="8">
        <v>299094.84999999998</v>
      </c>
      <c r="E10" s="9">
        <v>0.14073140334229101</v>
      </c>
      <c r="F10" s="10" t="s">
        <v>3</v>
      </c>
      <c r="G10" s="11">
        <f>(D10 / F10)</f>
        <v>37.386856249999994</v>
      </c>
    </row>
    <row r="11" spans="1:7" x14ac:dyDescent="0.25">
      <c r="A11" s="6" t="s">
        <v>27</v>
      </c>
      <c r="B11" s="7" t="s">
        <v>171</v>
      </c>
      <c r="C11" s="8">
        <v>2014848.12</v>
      </c>
      <c r="D11" s="8">
        <v>312143.53999999998</v>
      </c>
      <c r="E11" s="9">
        <v>0.154921622578679</v>
      </c>
      <c r="F11" s="10" t="s">
        <v>17</v>
      </c>
      <c r="G11" s="10" t="s">
        <v>17</v>
      </c>
    </row>
    <row r="12" spans="1:7" x14ac:dyDescent="0.25">
      <c r="A12" s="6" t="s">
        <v>28</v>
      </c>
      <c r="B12" s="7" t="s">
        <v>172</v>
      </c>
      <c r="C12" s="8">
        <v>1919170.46</v>
      </c>
      <c r="D12" s="8">
        <v>387293</v>
      </c>
      <c r="E12" s="9">
        <v>0.20180229326789501</v>
      </c>
      <c r="F12" s="10" t="s">
        <v>17</v>
      </c>
      <c r="G12" s="10" t="s">
        <v>17</v>
      </c>
    </row>
    <row r="13" spans="1:7" x14ac:dyDescent="0.25">
      <c r="A13" s="6" t="s">
        <v>29</v>
      </c>
      <c r="B13" s="7" t="s">
        <v>316</v>
      </c>
      <c r="C13" s="8">
        <v>1896696.4578</v>
      </c>
      <c r="D13" s="8">
        <v>990960.62</v>
      </c>
      <c r="E13" s="9">
        <v>0.52246663714942898</v>
      </c>
      <c r="F13" s="10" t="s">
        <v>17</v>
      </c>
      <c r="G13" s="10" t="s">
        <v>17</v>
      </c>
    </row>
    <row r="14" spans="1:7" x14ac:dyDescent="0.25">
      <c r="A14" s="6" t="s">
        <v>30</v>
      </c>
      <c r="B14" s="7" t="s">
        <v>173</v>
      </c>
      <c r="C14" s="8">
        <v>1843153.52</v>
      </c>
      <c r="D14" s="8">
        <v>333344.25</v>
      </c>
      <c r="E14" s="9">
        <v>0.18085539071102399</v>
      </c>
      <c r="F14" s="10" t="s">
        <v>4</v>
      </c>
      <c r="G14" s="11">
        <f>(D14 / F14)</f>
        <v>55.557375</v>
      </c>
    </row>
    <row r="15" spans="1:7" x14ac:dyDescent="0.25">
      <c r="A15" s="6" t="s">
        <v>31</v>
      </c>
      <c r="B15" s="7" t="s">
        <v>299</v>
      </c>
      <c r="C15" s="8">
        <v>1724546.4</v>
      </c>
      <c r="D15" s="8">
        <v>1155665.72</v>
      </c>
      <c r="E15" s="9">
        <v>0.67012735638774301</v>
      </c>
      <c r="F15" s="10" t="s">
        <v>17</v>
      </c>
      <c r="G15" s="10" t="s">
        <v>17</v>
      </c>
    </row>
    <row r="16" spans="1:7" x14ac:dyDescent="0.25">
      <c r="A16" s="6" t="s">
        <v>32</v>
      </c>
      <c r="B16" s="7" t="s">
        <v>175</v>
      </c>
      <c r="C16" s="8">
        <v>1348595.77</v>
      </c>
      <c r="D16" s="8">
        <v>275337.59999999998</v>
      </c>
      <c r="E16" s="9">
        <v>0.204166145352807</v>
      </c>
      <c r="F16" s="10" t="s">
        <v>17</v>
      </c>
      <c r="G16" s="10" t="s">
        <v>17</v>
      </c>
    </row>
    <row r="17" spans="1:7" x14ac:dyDescent="0.25">
      <c r="A17" s="6" t="s">
        <v>33</v>
      </c>
      <c r="B17" s="7" t="s">
        <v>296</v>
      </c>
      <c r="C17" s="8">
        <v>1249211.46</v>
      </c>
      <c r="D17" s="8">
        <v>127455.35</v>
      </c>
      <c r="E17" s="9">
        <v>0.102028642932879</v>
      </c>
      <c r="F17" s="10" t="s">
        <v>17</v>
      </c>
      <c r="G17" s="10" t="s">
        <v>17</v>
      </c>
    </row>
    <row r="18" spans="1:7" x14ac:dyDescent="0.25">
      <c r="A18" s="6" t="s">
        <v>34</v>
      </c>
      <c r="B18" s="7" t="s">
        <v>176</v>
      </c>
      <c r="C18" s="8">
        <v>1242369.6599999999</v>
      </c>
      <c r="D18" s="8">
        <v>304182.09999999998</v>
      </c>
      <c r="E18" s="9">
        <v>0.244840251491653</v>
      </c>
      <c r="F18" s="10" t="s">
        <v>17</v>
      </c>
      <c r="G18" s="10" t="s">
        <v>17</v>
      </c>
    </row>
    <row r="19" spans="1:7" x14ac:dyDescent="0.25">
      <c r="A19" s="6" t="s">
        <v>35</v>
      </c>
      <c r="B19" s="7" t="s">
        <v>177</v>
      </c>
      <c r="C19" s="8">
        <v>1240734.5</v>
      </c>
      <c r="D19" s="8">
        <v>266888.46000000002</v>
      </c>
      <c r="E19" s="9">
        <v>0.21510521388741899</v>
      </c>
      <c r="F19" s="10" t="s">
        <v>5</v>
      </c>
      <c r="G19" s="11">
        <f>(D19 / F19)</f>
        <v>118.61709333333334</v>
      </c>
    </row>
    <row r="20" spans="1:7" x14ac:dyDescent="0.25">
      <c r="A20" s="6" t="s">
        <v>36</v>
      </c>
      <c r="B20" s="7" t="s">
        <v>178</v>
      </c>
      <c r="C20" s="8">
        <v>1239873.3500000001</v>
      </c>
      <c r="D20" s="8">
        <v>265400.83</v>
      </c>
      <c r="E20" s="9">
        <v>0.214054790354192</v>
      </c>
      <c r="F20" s="10" t="s">
        <v>17</v>
      </c>
      <c r="G20" s="10" t="s">
        <v>17</v>
      </c>
    </row>
    <row r="21" spans="1:7" x14ac:dyDescent="0.25">
      <c r="A21" s="6" t="s">
        <v>37</v>
      </c>
      <c r="B21" s="7" t="s">
        <v>182</v>
      </c>
      <c r="C21" s="8">
        <v>1226837.07</v>
      </c>
      <c r="D21" s="8">
        <v>38355.449999999997</v>
      </c>
      <c r="E21" s="9">
        <v>3.1263686872454899E-2</v>
      </c>
      <c r="F21" s="10" t="s">
        <v>17</v>
      </c>
      <c r="G21" s="10" t="s">
        <v>17</v>
      </c>
    </row>
    <row r="22" spans="1:7" x14ac:dyDescent="0.25">
      <c r="A22" s="6" t="s">
        <v>38</v>
      </c>
      <c r="B22" s="7" t="s">
        <v>184</v>
      </c>
      <c r="C22" s="8">
        <v>1144928.3799999999</v>
      </c>
      <c r="D22" s="8">
        <v>116128.63</v>
      </c>
      <c r="E22" s="9">
        <v>0.1014287286686</v>
      </c>
      <c r="F22" s="10" t="s">
        <v>17</v>
      </c>
      <c r="G22" s="10" t="s">
        <v>17</v>
      </c>
    </row>
    <row r="23" spans="1:7" x14ac:dyDescent="0.25">
      <c r="A23" s="6" t="s">
        <v>39</v>
      </c>
      <c r="B23" s="7" t="s">
        <v>180</v>
      </c>
      <c r="C23" s="8">
        <v>1141482.24</v>
      </c>
      <c r="D23" s="8">
        <v>297540.34999999998</v>
      </c>
      <c r="E23" s="9">
        <v>0.26066139233142999</v>
      </c>
      <c r="F23" s="10" t="s">
        <v>17</v>
      </c>
      <c r="G23" s="10" t="s">
        <v>17</v>
      </c>
    </row>
    <row r="24" spans="1:7" x14ac:dyDescent="0.25">
      <c r="A24" s="6" t="s">
        <v>40</v>
      </c>
      <c r="B24" s="7" t="s">
        <v>186</v>
      </c>
      <c r="C24" s="8">
        <v>1137406.79</v>
      </c>
      <c r="D24" s="8">
        <v>22376.97</v>
      </c>
      <c r="E24" s="9">
        <v>1.96736736554914E-2</v>
      </c>
      <c r="F24" s="10" t="s">
        <v>17</v>
      </c>
      <c r="G24" s="10" t="s">
        <v>17</v>
      </c>
    </row>
    <row r="25" spans="1:7" x14ac:dyDescent="0.25">
      <c r="A25" s="6" t="s">
        <v>41</v>
      </c>
      <c r="B25" s="7" t="s">
        <v>189</v>
      </c>
      <c r="C25" s="8">
        <v>1132237.72</v>
      </c>
      <c r="D25" s="8">
        <v>291871.48</v>
      </c>
      <c r="E25" s="9">
        <v>0.25778286206539702</v>
      </c>
      <c r="F25" s="10" t="s">
        <v>17</v>
      </c>
      <c r="G25" s="10" t="s">
        <v>17</v>
      </c>
    </row>
    <row r="26" spans="1:7" x14ac:dyDescent="0.25">
      <c r="A26" s="6" t="s">
        <v>42</v>
      </c>
      <c r="B26" s="7" t="s">
        <v>179</v>
      </c>
      <c r="C26" s="8">
        <v>1126474.31</v>
      </c>
      <c r="D26" s="8">
        <v>247342.52</v>
      </c>
      <c r="E26" s="9">
        <v>0.21957226880744399</v>
      </c>
      <c r="F26" s="10" t="s">
        <v>4</v>
      </c>
      <c r="G26" s="11">
        <f>(D26 / F26)</f>
        <v>41.223753333333335</v>
      </c>
    </row>
    <row r="27" spans="1:7" x14ac:dyDescent="0.25">
      <c r="A27" s="12" t="s">
        <v>43</v>
      </c>
      <c r="B27" s="13" t="s">
        <v>181</v>
      </c>
      <c r="C27" s="14">
        <v>1028020.15</v>
      </c>
      <c r="D27" s="14">
        <v>226632.95999999999</v>
      </c>
      <c r="E27" s="15">
        <v>0.22045575663083999</v>
      </c>
      <c r="F27" s="16" t="s">
        <v>6</v>
      </c>
      <c r="G27" s="17">
        <f>(D27 / F27)</f>
        <v>22.663295999999999</v>
      </c>
    </row>
    <row r="28" spans="1:7" x14ac:dyDescent="0.25">
      <c r="A28" s="6" t="s">
        <v>44</v>
      </c>
      <c r="B28" s="7" t="s">
        <v>225</v>
      </c>
      <c r="C28" s="8">
        <v>1026549.63</v>
      </c>
      <c r="D28" s="8">
        <v>797003.94</v>
      </c>
      <c r="E28" s="9">
        <v>0.77639104501942102</v>
      </c>
      <c r="F28" s="10" t="s">
        <v>12</v>
      </c>
      <c r="G28" s="11">
        <f>(D28 / F28)</f>
        <v>177.11198666666667</v>
      </c>
    </row>
    <row r="29" spans="1:7" x14ac:dyDescent="0.25">
      <c r="A29" s="6" t="s">
        <v>45</v>
      </c>
      <c r="B29" s="7" t="s">
        <v>206</v>
      </c>
      <c r="C29" s="8">
        <v>1013995.87</v>
      </c>
      <c r="D29" s="8">
        <v>416703.23</v>
      </c>
      <c r="E29" s="9">
        <v>0.41095160476344</v>
      </c>
      <c r="F29" s="10" t="s">
        <v>17</v>
      </c>
      <c r="G29" s="10" t="s">
        <v>17</v>
      </c>
    </row>
    <row r="30" spans="1:7" x14ac:dyDescent="0.25">
      <c r="A30" s="6" t="s">
        <v>46</v>
      </c>
      <c r="B30" s="7" t="s">
        <v>300</v>
      </c>
      <c r="C30" s="8">
        <v>998245.74</v>
      </c>
      <c r="D30" s="8">
        <v>234331.93</v>
      </c>
      <c r="E30" s="9">
        <v>0.23474373153848899</v>
      </c>
      <c r="F30" s="10" t="s">
        <v>17</v>
      </c>
      <c r="G30" s="10" t="s">
        <v>17</v>
      </c>
    </row>
    <row r="31" spans="1:7" x14ac:dyDescent="0.25">
      <c r="A31" s="6" t="s">
        <v>47</v>
      </c>
      <c r="B31" s="7" t="s">
        <v>187</v>
      </c>
      <c r="C31" s="8">
        <v>963143.09</v>
      </c>
      <c r="D31" s="8">
        <v>191448.18</v>
      </c>
      <c r="E31" s="9">
        <v>0.198774389794978</v>
      </c>
      <c r="F31" s="10" t="s">
        <v>17</v>
      </c>
      <c r="G31" s="10" t="s">
        <v>17</v>
      </c>
    </row>
    <row r="32" spans="1:7" x14ac:dyDescent="0.25">
      <c r="A32" s="6" t="s">
        <v>48</v>
      </c>
      <c r="B32" s="7" t="s">
        <v>188</v>
      </c>
      <c r="C32" s="8">
        <v>960825.87</v>
      </c>
      <c r="D32" s="8">
        <v>174236.59</v>
      </c>
      <c r="E32" s="9">
        <v>0.181340444132713</v>
      </c>
      <c r="F32" s="10" t="s">
        <v>17</v>
      </c>
      <c r="G32" s="10" t="s">
        <v>17</v>
      </c>
    </row>
    <row r="33" spans="1:7" x14ac:dyDescent="0.25">
      <c r="A33" s="6" t="s">
        <v>49</v>
      </c>
      <c r="B33" s="7" t="s">
        <v>199</v>
      </c>
      <c r="C33" s="8">
        <v>928213.27</v>
      </c>
      <c r="D33" s="8">
        <v>300665.84999999998</v>
      </c>
      <c r="E33" s="9">
        <v>0.32391893082933398</v>
      </c>
      <c r="F33" s="10" t="s">
        <v>12</v>
      </c>
      <c r="G33" s="11">
        <f>(D33 / F33)</f>
        <v>66.814633333333333</v>
      </c>
    </row>
    <row r="34" spans="1:7" x14ac:dyDescent="0.25">
      <c r="A34" s="6" t="s">
        <v>50</v>
      </c>
      <c r="B34" s="7" t="s">
        <v>174</v>
      </c>
      <c r="C34" s="8">
        <v>927866.94</v>
      </c>
      <c r="D34" s="8">
        <v>796759.22</v>
      </c>
      <c r="E34" s="9">
        <v>0.85869986918598495</v>
      </c>
      <c r="F34" s="10" t="s">
        <v>17</v>
      </c>
      <c r="G34" s="10" t="s">
        <v>17</v>
      </c>
    </row>
    <row r="35" spans="1:7" x14ac:dyDescent="0.25">
      <c r="A35" s="6" t="s">
        <v>51</v>
      </c>
      <c r="B35" s="7" t="s">
        <v>185</v>
      </c>
      <c r="C35" s="8">
        <v>912806.84</v>
      </c>
      <c r="D35" s="8">
        <v>206035.89</v>
      </c>
      <c r="E35" s="9">
        <v>0.22571685593416499</v>
      </c>
      <c r="F35" s="10" t="s">
        <v>7</v>
      </c>
      <c r="G35" s="11">
        <f>(D35 / F35)</f>
        <v>58.867397142857143</v>
      </c>
    </row>
    <row r="36" spans="1:7" x14ac:dyDescent="0.25">
      <c r="A36" s="6" t="s">
        <v>52</v>
      </c>
      <c r="B36" s="7" t="s">
        <v>190</v>
      </c>
      <c r="C36" s="8">
        <v>893814.27</v>
      </c>
      <c r="D36" s="8">
        <v>247919.31</v>
      </c>
      <c r="E36" s="9">
        <v>0.27737228898795702</v>
      </c>
      <c r="F36" s="10" t="s">
        <v>17</v>
      </c>
      <c r="G36" s="10" t="s">
        <v>17</v>
      </c>
    </row>
    <row r="37" spans="1:7" x14ac:dyDescent="0.25">
      <c r="A37" s="6" t="s">
        <v>53</v>
      </c>
      <c r="B37" s="7" t="s">
        <v>194</v>
      </c>
      <c r="C37" s="8">
        <v>859438.49</v>
      </c>
      <c r="D37" s="8">
        <v>161862.53</v>
      </c>
      <c r="E37" s="9">
        <v>0.18833521174970899</v>
      </c>
      <c r="F37" s="10" t="s">
        <v>10</v>
      </c>
      <c r="G37" s="11">
        <f>(D37 / F37)</f>
        <v>323.72505999999998</v>
      </c>
    </row>
    <row r="38" spans="1:7" x14ac:dyDescent="0.25">
      <c r="A38" s="6" t="s">
        <v>54</v>
      </c>
      <c r="B38" s="7" t="s">
        <v>192</v>
      </c>
      <c r="C38" s="8">
        <v>846807.39</v>
      </c>
      <c r="D38" s="8">
        <v>179773.15</v>
      </c>
      <c r="E38" s="9">
        <v>0.21229520682383299</v>
      </c>
      <c r="F38" s="10" t="s">
        <v>17</v>
      </c>
      <c r="G38" s="10" t="s">
        <v>17</v>
      </c>
    </row>
    <row r="39" spans="1:7" x14ac:dyDescent="0.25">
      <c r="A39" s="6" t="s">
        <v>55</v>
      </c>
      <c r="B39" s="7" t="s">
        <v>193</v>
      </c>
      <c r="C39" s="8">
        <v>825062.13</v>
      </c>
      <c r="D39" s="8">
        <v>153542.10999999999</v>
      </c>
      <c r="E39" s="9">
        <v>0.18609763364123899</v>
      </c>
      <c r="F39" s="10" t="s">
        <v>9</v>
      </c>
      <c r="G39" s="11">
        <f>(D39 / F39)</f>
        <v>60.21259215686274</v>
      </c>
    </row>
    <row r="40" spans="1:7" x14ac:dyDescent="0.25">
      <c r="A40" s="6" t="s">
        <v>56</v>
      </c>
      <c r="B40" s="7" t="s">
        <v>191</v>
      </c>
      <c r="C40" s="8">
        <v>811616.74</v>
      </c>
      <c r="D40" s="8">
        <v>171859.13</v>
      </c>
      <c r="E40" s="9">
        <v>0.211749119418114</v>
      </c>
      <c r="F40" s="10" t="s">
        <v>8</v>
      </c>
      <c r="G40" s="11">
        <f>(D40 / F40)</f>
        <v>63.651529629629628</v>
      </c>
    </row>
    <row r="41" spans="1:7" x14ac:dyDescent="0.25">
      <c r="A41" s="6" t="s">
        <v>57</v>
      </c>
      <c r="B41" s="7" t="s">
        <v>195</v>
      </c>
      <c r="C41" s="8">
        <v>809109.86</v>
      </c>
      <c r="D41" s="8">
        <v>193727.68</v>
      </c>
      <c r="E41" s="9">
        <v>0.239433097502977</v>
      </c>
      <c r="F41" s="10" t="s">
        <v>17</v>
      </c>
      <c r="G41" s="10" t="s">
        <v>17</v>
      </c>
    </row>
    <row r="42" spans="1:7" x14ac:dyDescent="0.25">
      <c r="A42" s="6" t="s">
        <v>58</v>
      </c>
      <c r="B42" s="7" t="s">
        <v>301</v>
      </c>
      <c r="C42" s="8">
        <v>805434.68</v>
      </c>
      <c r="D42" s="8">
        <v>536822.57999999996</v>
      </c>
      <c r="E42" s="9">
        <v>0.66650045413986903</v>
      </c>
      <c r="F42" s="10" t="s">
        <v>17</v>
      </c>
      <c r="G42" s="10" t="s">
        <v>17</v>
      </c>
    </row>
    <row r="43" spans="1:7" x14ac:dyDescent="0.25">
      <c r="A43" s="6" t="s">
        <v>59</v>
      </c>
      <c r="B43" s="7" t="s">
        <v>219</v>
      </c>
      <c r="C43" s="8">
        <v>795302.33</v>
      </c>
      <c r="D43" s="8">
        <v>287993.01</v>
      </c>
      <c r="E43" s="9">
        <v>0.36211764902034199</v>
      </c>
      <c r="F43" s="10" t="s">
        <v>17</v>
      </c>
      <c r="G43" s="10" t="s">
        <v>17</v>
      </c>
    </row>
    <row r="44" spans="1:7" x14ac:dyDescent="0.25">
      <c r="A44" s="6" t="s">
        <v>60</v>
      </c>
      <c r="B44" s="7" t="s">
        <v>302</v>
      </c>
      <c r="C44" s="8">
        <v>758178.82</v>
      </c>
      <c r="D44" s="8">
        <v>406740.05</v>
      </c>
      <c r="E44" s="9">
        <v>0.53646981328230703</v>
      </c>
      <c r="F44" s="10" t="s">
        <v>17</v>
      </c>
      <c r="G44" s="10" t="s">
        <v>17</v>
      </c>
    </row>
    <row r="45" spans="1:7" x14ac:dyDescent="0.25">
      <c r="A45" s="6" t="s">
        <v>61</v>
      </c>
      <c r="B45" s="7" t="s">
        <v>252</v>
      </c>
      <c r="C45" s="8">
        <v>716121.13</v>
      </c>
      <c r="D45" s="8">
        <v>134120.76</v>
      </c>
      <c r="E45" s="9">
        <v>0.187287812607903</v>
      </c>
      <c r="F45" s="10" t="s">
        <v>17</v>
      </c>
      <c r="G45" s="10" t="s">
        <v>17</v>
      </c>
    </row>
    <row r="46" spans="1:7" x14ac:dyDescent="0.25">
      <c r="A46" s="6" t="s">
        <v>62</v>
      </c>
      <c r="B46" s="7" t="s">
        <v>196</v>
      </c>
      <c r="C46" s="8">
        <v>714124.36</v>
      </c>
      <c r="D46" s="8">
        <v>94061.119999999995</v>
      </c>
      <c r="E46" s="9">
        <v>0.13171532196437</v>
      </c>
      <c r="F46" s="10" t="s">
        <v>17</v>
      </c>
      <c r="G46" s="10" t="s">
        <v>17</v>
      </c>
    </row>
    <row r="47" spans="1:7" x14ac:dyDescent="0.25">
      <c r="A47" s="6" t="s">
        <v>63</v>
      </c>
      <c r="B47" s="7" t="s">
        <v>198</v>
      </c>
      <c r="C47" s="8">
        <v>699065.47</v>
      </c>
      <c r="D47" s="8">
        <v>102295.14</v>
      </c>
      <c r="E47" s="9">
        <v>0.14633127280625099</v>
      </c>
      <c r="F47" s="10" t="s">
        <v>17</v>
      </c>
      <c r="G47" s="10" t="s">
        <v>17</v>
      </c>
    </row>
    <row r="48" spans="1:7" x14ac:dyDescent="0.25">
      <c r="A48" s="6" t="s">
        <v>64</v>
      </c>
      <c r="B48" s="7" t="s">
        <v>213</v>
      </c>
      <c r="C48" s="8">
        <v>639317.03</v>
      </c>
      <c r="D48" s="8">
        <v>6848.62</v>
      </c>
      <c r="E48" s="9">
        <v>1.0712400387644899E-2</v>
      </c>
      <c r="F48" s="10" t="s">
        <v>17</v>
      </c>
      <c r="G48" s="10" t="s">
        <v>17</v>
      </c>
    </row>
    <row r="49" spans="1:7" x14ac:dyDescent="0.25">
      <c r="A49" s="6" t="s">
        <v>65</v>
      </c>
      <c r="B49" s="7" t="s">
        <v>201</v>
      </c>
      <c r="C49" s="8">
        <v>634999.31000000006</v>
      </c>
      <c r="D49" s="8">
        <v>109268.72</v>
      </c>
      <c r="E49" s="9">
        <v>0.17207691139066</v>
      </c>
      <c r="F49" s="10" t="s">
        <v>13</v>
      </c>
      <c r="G49" s="11">
        <f>(D49 / F49)</f>
        <v>36.42290666666667</v>
      </c>
    </row>
    <row r="50" spans="1:7" x14ac:dyDescent="0.25">
      <c r="A50" s="6" t="s">
        <v>66</v>
      </c>
      <c r="B50" s="7" t="s">
        <v>197</v>
      </c>
      <c r="C50" s="8">
        <v>628569.18999999994</v>
      </c>
      <c r="D50" s="8">
        <v>153009.79</v>
      </c>
      <c r="E50" s="9">
        <v>0.24342553283593199</v>
      </c>
      <c r="F50" s="10" t="s">
        <v>11</v>
      </c>
      <c r="G50" s="11">
        <f>(D50 / F50)</f>
        <v>40.657436513356309</v>
      </c>
    </row>
    <row r="51" spans="1:7" x14ac:dyDescent="0.25">
      <c r="A51" s="6" t="s">
        <v>67</v>
      </c>
      <c r="B51" s="7" t="s">
        <v>205</v>
      </c>
      <c r="C51" s="8">
        <v>599639.42000000004</v>
      </c>
      <c r="D51" s="8">
        <v>88234.65</v>
      </c>
      <c r="E51" s="9">
        <v>0.14714617994927701</v>
      </c>
      <c r="F51" s="10" t="s">
        <v>17</v>
      </c>
      <c r="G51" s="10" t="s">
        <v>17</v>
      </c>
    </row>
    <row r="52" spans="1:7" x14ac:dyDescent="0.25">
      <c r="A52" s="6" t="s">
        <v>68</v>
      </c>
      <c r="B52" s="7" t="s">
        <v>202</v>
      </c>
      <c r="C52" s="8">
        <v>566425.75</v>
      </c>
      <c r="D52" s="8">
        <v>115151.06</v>
      </c>
      <c r="E52" s="9">
        <v>0.20329418286509801</v>
      </c>
      <c r="F52" s="10" t="s">
        <v>17</v>
      </c>
      <c r="G52" s="10" t="s">
        <v>17</v>
      </c>
    </row>
    <row r="53" spans="1:7" x14ac:dyDescent="0.25">
      <c r="A53" s="6" t="s">
        <v>69</v>
      </c>
      <c r="B53" s="7" t="s">
        <v>203</v>
      </c>
      <c r="C53" s="8">
        <v>554601.49</v>
      </c>
      <c r="D53" s="8">
        <v>61510.98</v>
      </c>
      <c r="E53" s="9">
        <v>0.110910232138035</v>
      </c>
      <c r="F53" s="10" t="s">
        <v>17</v>
      </c>
      <c r="G53" s="10" t="s">
        <v>17</v>
      </c>
    </row>
    <row r="54" spans="1:7" x14ac:dyDescent="0.25">
      <c r="A54" s="6" t="s">
        <v>70</v>
      </c>
      <c r="B54" s="7" t="s">
        <v>204</v>
      </c>
      <c r="C54" s="8">
        <v>525159.32999999996</v>
      </c>
      <c r="D54" s="8">
        <v>103935.47</v>
      </c>
      <c r="E54" s="9">
        <v>0.19791226026585099</v>
      </c>
      <c r="F54" s="10" t="s">
        <v>17</v>
      </c>
      <c r="G54" s="10" t="s">
        <v>17</v>
      </c>
    </row>
    <row r="55" spans="1:7" x14ac:dyDescent="0.25">
      <c r="A55" s="6" t="s">
        <v>71</v>
      </c>
      <c r="B55" s="7" t="s">
        <v>237</v>
      </c>
      <c r="C55" s="8">
        <v>493279.76</v>
      </c>
      <c r="D55" s="8">
        <v>210943.27</v>
      </c>
      <c r="E55" s="9">
        <v>0.42763414821641998</v>
      </c>
      <c r="F55" s="10" t="s">
        <v>17</v>
      </c>
      <c r="G55" s="10" t="s">
        <v>17</v>
      </c>
    </row>
    <row r="56" spans="1:7" x14ac:dyDescent="0.25">
      <c r="A56" s="6" t="s">
        <v>72</v>
      </c>
      <c r="B56" s="7" t="s">
        <v>200</v>
      </c>
      <c r="C56" s="8">
        <v>472298.06</v>
      </c>
      <c r="D56" s="8">
        <v>95136.71</v>
      </c>
      <c r="E56" s="9">
        <v>0.201433624351538</v>
      </c>
      <c r="F56" s="10" t="s">
        <v>17</v>
      </c>
      <c r="G56" s="10" t="s">
        <v>17</v>
      </c>
    </row>
    <row r="57" spans="1:7" x14ac:dyDescent="0.25">
      <c r="A57" s="6" t="s">
        <v>73</v>
      </c>
      <c r="B57" s="7" t="s">
        <v>215</v>
      </c>
      <c r="C57" s="8">
        <v>466422.37</v>
      </c>
      <c r="D57" s="8">
        <v>72698.2</v>
      </c>
      <c r="E57" s="9">
        <v>0.155863450545908</v>
      </c>
      <c r="F57" s="10" t="s">
        <v>17</v>
      </c>
      <c r="G57" s="10" t="s">
        <v>17</v>
      </c>
    </row>
    <row r="58" spans="1:7" x14ac:dyDescent="0.25">
      <c r="A58" s="6" t="s">
        <v>74</v>
      </c>
      <c r="B58" s="7" t="s">
        <v>208</v>
      </c>
      <c r="C58" s="8">
        <v>463447.5906</v>
      </c>
      <c r="D58" s="8">
        <v>94215.23</v>
      </c>
      <c r="E58" s="9">
        <v>0.203292091513573</v>
      </c>
      <c r="F58" s="10" t="s">
        <v>14</v>
      </c>
      <c r="G58" s="11">
        <f>(D58 / F58)</f>
        <v>37.686091999999995</v>
      </c>
    </row>
    <row r="59" spans="1:7" x14ac:dyDescent="0.25">
      <c r="A59" s="6" t="s">
        <v>75</v>
      </c>
      <c r="B59" s="7" t="s">
        <v>207</v>
      </c>
      <c r="C59" s="8">
        <v>461791.89</v>
      </c>
      <c r="D59" s="8">
        <v>137342.39000000001</v>
      </c>
      <c r="E59" s="9">
        <v>0.29741187096204702</v>
      </c>
      <c r="F59" s="10" t="s">
        <v>17</v>
      </c>
      <c r="G59" s="10" t="s">
        <v>17</v>
      </c>
    </row>
    <row r="60" spans="1:7" x14ac:dyDescent="0.25">
      <c r="A60" s="6" t="s">
        <v>76</v>
      </c>
      <c r="B60" s="7" t="s">
        <v>221</v>
      </c>
      <c r="C60" s="8">
        <v>457219.44</v>
      </c>
      <c r="D60" s="8">
        <v>154512.64000000001</v>
      </c>
      <c r="E60" s="9">
        <v>0.337939786637244</v>
      </c>
      <c r="F60" s="10" t="s">
        <v>17</v>
      </c>
      <c r="G60" s="10" t="s">
        <v>17</v>
      </c>
    </row>
    <row r="61" spans="1:7" x14ac:dyDescent="0.25">
      <c r="A61" s="6" t="s">
        <v>77</v>
      </c>
      <c r="B61" s="7" t="s">
        <v>250</v>
      </c>
      <c r="C61" s="8">
        <v>439954.51</v>
      </c>
      <c r="D61" s="8">
        <v>214601.87</v>
      </c>
      <c r="E61" s="9">
        <v>0.487781952729613</v>
      </c>
      <c r="F61" s="10" t="s">
        <v>17</v>
      </c>
      <c r="G61" s="10" t="s">
        <v>17</v>
      </c>
    </row>
    <row r="62" spans="1:7" x14ac:dyDescent="0.25">
      <c r="A62" s="6" t="s">
        <v>78</v>
      </c>
      <c r="B62" s="7" t="s">
        <v>223</v>
      </c>
      <c r="C62" s="8">
        <v>432803.83</v>
      </c>
      <c r="D62" s="8">
        <v>56714.67</v>
      </c>
      <c r="E62" s="9">
        <v>0.13104012965874201</v>
      </c>
      <c r="F62" s="10" t="s">
        <v>17</v>
      </c>
      <c r="G62" s="10" t="s">
        <v>17</v>
      </c>
    </row>
    <row r="63" spans="1:7" x14ac:dyDescent="0.25">
      <c r="A63" s="6" t="s">
        <v>79</v>
      </c>
      <c r="B63" s="7" t="s">
        <v>214</v>
      </c>
      <c r="C63" s="8">
        <v>414653.22</v>
      </c>
      <c r="D63" s="8">
        <v>19050.05</v>
      </c>
      <c r="E63" s="9">
        <v>4.5942124843501797E-2</v>
      </c>
      <c r="F63" s="10" t="s">
        <v>17</v>
      </c>
      <c r="G63" s="10" t="s">
        <v>17</v>
      </c>
    </row>
    <row r="64" spans="1:7" x14ac:dyDescent="0.25">
      <c r="A64" s="6" t="s">
        <v>80</v>
      </c>
      <c r="B64" s="7" t="s">
        <v>211</v>
      </c>
      <c r="C64" s="8">
        <v>411057.38</v>
      </c>
      <c r="D64" s="8">
        <v>61762.47</v>
      </c>
      <c r="E64" s="9">
        <v>0.150252672753376</v>
      </c>
      <c r="F64" s="10" t="s">
        <v>17</v>
      </c>
      <c r="G64" s="10" t="s">
        <v>17</v>
      </c>
    </row>
    <row r="65" spans="1:7" x14ac:dyDescent="0.25">
      <c r="A65" s="6" t="s">
        <v>81</v>
      </c>
      <c r="B65" s="7" t="s">
        <v>304</v>
      </c>
      <c r="C65" s="8">
        <v>403378.17</v>
      </c>
      <c r="D65" s="8">
        <v>65814</v>
      </c>
      <c r="E65" s="9">
        <v>0.16315706920877701</v>
      </c>
      <c r="F65" s="10" t="s">
        <v>17</v>
      </c>
      <c r="G65" s="10" t="s">
        <v>17</v>
      </c>
    </row>
    <row r="66" spans="1:7" x14ac:dyDescent="0.25">
      <c r="A66" s="6" t="s">
        <v>82</v>
      </c>
      <c r="B66" s="7" t="s">
        <v>209</v>
      </c>
      <c r="C66" s="8">
        <v>402613.57</v>
      </c>
      <c r="D66" s="8">
        <v>67475.83</v>
      </c>
      <c r="E66" s="9">
        <v>0.16759452494360799</v>
      </c>
      <c r="F66" s="10" t="s">
        <v>17</v>
      </c>
      <c r="G66" s="10" t="s">
        <v>17</v>
      </c>
    </row>
    <row r="67" spans="1:7" x14ac:dyDescent="0.25">
      <c r="A67" s="6" t="s">
        <v>83</v>
      </c>
      <c r="B67" s="7" t="s">
        <v>212</v>
      </c>
      <c r="C67" s="8">
        <v>400178.66</v>
      </c>
      <c r="D67" s="8">
        <v>74735.42</v>
      </c>
      <c r="E67" s="9">
        <v>0.18675513581858699</v>
      </c>
      <c r="F67" s="10" t="s">
        <v>17</v>
      </c>
      <c r="G67" s="10" t="s">
        <v>17</v>
      </c>
    </row>
    <row r="68" spans="1:7" x14ac:dyDescent="0.25">
      <c r="A68" s="6" t="s">
        <v>84</v>
      </c>
      <c r="B68" s="7" t="s">
        <v>210</v>
      </c>
      <c r="C68" s="8">
        <v>379942.35100000002</v>
      </c>
      <c r="D68" s="8">
        <v>71081.38</v>
      </c>
      <c r="E68" s="9">
        <v>0.187084645375582</v>
      </c>
      <c r="F68" s="10" t="s">
        <v>17</v>
      </c>
      <c r="G68" s="10" t="s">
        <v>17</v>
      </c>
    </row>
    <row r="69" spans="1:7" x14ac:dyDescent="0.25">
      <c r="A69" s="6" t="s">
        <v>85</v>
      </c>
      <c r="B69" s="7" t="s">
        <v>218</v>
      </c>
      <c r="C69" s="8">
        <v>376681.49</v>
      </c>
      <c r="D69" s="8">
        <v>53894.13</v>
      </c>
      <c r="E69" s="9">
        <v>0.14307613044644199</v>
      </c>
      <c r="F69" s="10" t="s">
        <v>17</v>
      </c>
      <c r="G69" s="10" t="s">
        <v>17</v>
      </c>
    </row>
    <row r="70" spans="1:7" x14ac:dyDescent="0.25">
      <c r="A70" s="6" t="s">
        <v>86</v>
      </c>
      <c r="B70" s="7" t="s">
        <v>220</v>
      </c>
      <c r="C70" s="8">
        <v>362618.84</v>
      </c>
      <c r="D70" s="8">
        <v>64002.36</v>
      </c>
      <c r="E70" s="9">
        <v>0.176500371574737</v>
      </c>
      <c r="F70" s="10" t="s">
        <v>17</v>
      </c>
      <c r="G70" s="10" t="s">
        <v>17</v>
      </c>
    </row>
    <row r="71" spans="1:7" x14ac:dyDescent="0.25">
      <c r="A71" s="6" t="s">
        <v>87</v>
      </c>
      <c r="B71" s="7" t="s">
        <v>222</v>
      </c>
      <c r="C71" s="8">
        <v>358722.43</v>
      </c>
      <c r="D71" s="8">
        <v>41196.629999999997</v>
      </c>
      <c r="E71" s="9">
        <v>0.11484263752339099</v>
      </c>
      <c r="F71" s="10" t="s">
        <v>17</v>
      </c>
      <c r="G71" s="10" t="s">
        <v>17</v>
      </c>
    </row>
    <row r="72" spans="1:7" x14ac:dyDescent="0.25">
      <c r="A72" s="6" t="s">
        <v>88</v>
      </c>
      <c r="B72" s="7" t="s">
        <v>217</v>
      </c>
      <c r="C72" s="8">
        <v>344652.05</v>
      </c>
      <c r="D72" s="8">
        <v>50608.7</v>
      </c>
      <c r="E72" s="9">
        <v>0.14683997962582801</v>
      </c>
      <c r="F72" s="10" t="s">
        <v>15</v>
      </c>
      <c r="G72" s="11">
        <f>(D72 / F72)</f>
        <v>50.608699999999999</v>
      </c>
    </row>
    <row r="73" spans="1:7" x14ac:dyDescent="0.25">
      <c r="A73" s="6" t="s">
        <v>89</v>
      </c>
      <c r="B73" s="7" t="s">
        <v>329</v>
      </c>
      <c r="C73" s="8">
        <v>328528.28000000003</v>
      </c>
      <c r="D73" s="8">
        <v>289883.53000000003</v>
      </c>
      <c r="E73" s="9">
        <v>0.88237009611470896</v>
      </c>
      <c r="F73" s="10" t="s">
        <v>17</v>
      </c>
      <c r="G73" s="10" t="s">
        <v>17</v>
      </c>
    </row>
    <row r="74" spans="1:7" x14ac:dyDescent="0.25">
      <c r="A74" s="6" t="s">
        <v>90</v>
      </c>
      <c r="B74" s="7" t="s">
        <v>226</v>
      </c>
      <c r="C74" s="8">
        <v>320566.98</v>
      </c>
      <c r="D74" s="8">
        <v>20179.560000000001</v>
      </c>
      <c r="E74" s="9">
        <v>6.2949590129338998E-2</v>
      </c>
      <c r="F74" s="10" t="s">
        <v>17</v>
      </c>
      <c r="G74" s="10" t="s">
        <v>17</v>
      </c>
    </row>
    <row r="75" spans="1:7" x14ac:dyDescent="0.25">
      <c r="A75" s="6" t="s">
        <v>91</v>
      </c>
      <c r="B75" s="7" t="s">
        <v>216</v>
      </c>
      <c r="C75" s="8">
        <v>318989.90999999997</v>
      </c>
      <c r="D75" s="8">
        <v>167874.04</v>
      </c>
      <c r="E75" s="9">
        <v>0.52626755498316502</v>
      </c>
      <c r="F75" s="10" t="s">
        <v>17</v>
      </c>
      <c r="G75" s="10" t="s">
        <v>17</v>
      </c>
    </row>
    <row r="76" spans="1:7" x14ac:dyDescent="0.25">
      <c r="A76" s="6" t="s">
        <v>92</v>
      </c>
      <c r="B76" s="7" t="s">
        <v>227</v>
      </c>
      <c r="C76" s="8">
        <v>315860.86</v>
      </c>
      <c r="D76" s="8">
        <v>27298.98</v>
      </c>
      <c r="E76" s="9">
        <v>8.6427232547900995E-2</v>
      </c>
      <c r="F76" s="10" t="s">
        <v>17</v>
      </c>
      <c r="G76" s="10" t="s">
        <v>17</v>
      </c>
    </row>
    <row r="77" spans="1:7" x14ac:dyDescent="0.25">
      <c r="A77" s="6" t="s">
        <v>93</v>
      </c>
      <c r="B77" s="7" t="s">
        <v>224</v>
      </c>
      <c r="C77" s="8">
        <v>305797.48</v>
      </c>
      <c r="D77" s="8">
        <v>59287.15</v>
      </c>
      <c r="E77" s="9">
        <v>0.19387716994921</v>
      </c>
      <c r="F77" s="10" t="s">
        <v>17</v>
      </c>
      <c r="G77" s="10" t="s">
        <v>17</v>
      </c>
    </row>
    <row r="78" spans="1:7" x14ac:dyDescent="0.25">
      <c r="A78" s="6" t="s">
        <v>94</v>
      </c>
      <c r="B78" s="7" t="s">
        <v>303</v>
      </c>
      <c r="C78" s="8">
        <v>304473.23</v>
      </c>
      <c r="D78" s="8">
        <v>17632.79</v>
      </c>
      <c r="E78" s="9">
        <v>5.7912447672328997E-2</v>
      </c>
      <c r="F78" s="10" t="s">
        <v>17</v>
      </c>
      <c r="G78" s="10" t="s">
        <v>17</v>
      </c>
    </row>
    <row r="79" spans="1:7" x14ac:dyDescent="0.25">
      <c r="A79" s="6" t="s">
        <v>95</v>
      </c>
      <c r="B79" s="7" t="s">
        <v>228</v>
      </c>
      <c r="C79" s="8">
        <v>292395.89</v>
      </c>
      <c r="D79" s="8">
        <v>14430.21</v>
      </c>
      <c r="E79" s="9">
        <v>4.9351617083263397E-2</v>
      </c>
      <c r="F79" s="10" t="s">
        <v>17</v>
      </c>
      <c r="G79" s="10" t="s">
        <v>17</v>
      </c>
    </row>
    <row r="80" spans="1:7" x14ac:dyDescent="0.25">
      <c r="A80" s="6" t="s">
        <v>96</v>
      </c>
      <c r="B80" s="7" t="s">
        <v>229</v>
      </c>
      <c r="C80" s="8">
        <v>286491.61</v>
      </c>
      <c r="D80" s="8">
        <v>28326.97</v>
      </c>
      <c r="E80" s="9">
        <v>9.8875391150198097E-2</v>
      </c>
      <c r="F80" s="10" t="s">
        <v>17</v>
      </c>
      <c r="G80" s="10" t="s">
        <v>17</v>
      </c>
    </row>
    <row r="81" spans="1:7" x14ac:dyDescent="0.25">
      <c r="A81" s="6" t="s">
        <v>97</v>
      </c>
      <c r="B81" s="7" t="s">
        <v>232</v>
      </c>
      <c r="C81" s="8">
        <v>280209.89</v>
      </c>
      <c r="D81" s="8">
        <v>12724.99</v>
      </c>
      <c r="E81" s="9">
        <v>4.5412351434133899E-2</v>
      </c>
      <c r="F81" s="10" t="s">
        <v>17</v>
      </c>
      <c r="G81" s="10" t="s">
        <v>17</v>
      </c>
    </row>
    <row r="82" spans="1:7" x14ac:dyDescent="0.25">
      <c r="A82" s="6" t="s">
        <v>98</v>
      </c>
      <c r="B82" s="7" t="s">
        <v>231</v>
      </c>
      <c r="C82" s="8">
        <v>278405.77</v>
      </c>
      <c r="D82" s="8">
        <v>22511.3</v>
      </c>
      <c r="E82" s="9">
        <v>8.0857878771693606E-2</v>
      </c>
      <c r="F82" s="10" t="s">
        <v>17</v>
      </c>
      <c r="G82" s="10" t="s">
        <v>17</v>
      </c>
    </row>
    <row r="83" spans="1:7" x14ac:dyDescent="0.25">
      <c r="A83" s="6" t="s">
        <v>99</v>
      </c>
      <c r="B83" s="7" t="s">
        <v>254</v>
      </c>
      <c r="C83" s="8">
        <v>270907.88</v>
      </c>
      <c r="D83" s="8">
        <v>42723.31</v>
      </c>
      <c r="E83" s="9">
        <v>0.15770419819460399</v>
      </c>
      <c r="F83" s="10" t="s">
        <v>17</v>
      </c>
      <c r="G83" s="10" t="s">
        <v>17</v>
      </c>
    </row>
    <row r="84" spans="1:7" x14ac:dyDescent="0.25">
      <c r="A84" s="6" t="s">
        <v>100</v>
      </c>
      <c r="B84" s="7" t="s">
        <v>234</v>
      </c>
      <c r="C84" s="8">
        <v>265033.73</v>
      </c>
      <c r="D84" s="8">
        <v>25281.06</v>
      </c>
      <c r="E84" s="9">
        <v>9.5388085131654796E-2</v>
      </c>
      <c r="F84" s="10" t="s">
        <v>17</v>
      </c>
      <c r="G84" s="10" t="s">
        <v>17</v>
      </c>
    </row>
    <row r="85" spans="1:7" x14ac:dyDescent="0.25">
      <c r="A85" s="6" t="s">
        <v>101</v>
      </c>
      <c r="B85" s="7" t="s">
        <v>233</v>
      </c>
      <c r="C85" s="8">
        <v>257093.97</v>
      </c>
      <c r="D85" s="8">
        <v>47021.81</v>
      </c>
      <c r="E85" s="9">
        <v>0.18289736628206399</v>
      </c>
      <c r="F85" s="10" t="s">
        <v>17</v>
      </c>
      <c r="G85" s="10" t="s">
        <v>17</v>
      </c>
    </row>
    <row r="86" spans="1:7" x14ac:dyDescent="0.25">
      <c r="A86" s="6" t="s">
        <v>102</v>
      </c>
      <c r="B86" s="7" t="s">
        <v>235</v>
      </c>
      <c r="C86" s="8">
        <v>240024.7</v>
      </c>
      <c r="D86" s="8">
        <v>25257.84</v>
      </c>
      <c r="E86" s="9">
        <v>0.10523017006166401</v>
      </c>
      <c r="F86" s="10" t="s">
        <v>17</v>
      </c>
      <c r="G86" s="10" t="s">
        <v>17</v>
      </c>
    </row>
    <row r="87" spans="1:7" x14ac:dyDescent="0.25">
      <c r="A87" s="6" t="s">
        <v>103</v>
      </c>
      <c r="B87" s="7" t="s">
        <v>236</v>
      </c>
      <c r="C87" s="8">
        <v>225949.18</v>
      </c>
      <c r="D87" s="8">
        <v>73730.009999999995</v>
      </c>
      <c r="E87" s="9">
        <v>0.32631235926592</v>
      </c>
      <c r="F87" s="10" t="s">
        <v>17</v>
      </c>
      <c r="G87" s="10" t="s">
        <v>17</v>
      </c>
    </row>
    <row r="88" spans="1:7" x14ac:dyDescent="0.25">
      <c r="A88" s="6" t="s">
        <v>104</v>
      </c>
      <c r="B88" s="7" t="s">
        <v>305</v>
      </c>
      <c r="C88" s="8">
        <v>212906.49</v>
      </c>
      <c r="D88" s="8">
        <v>158704.03</v>
      </c>
      <c r="E88" s="9">
        <v>0.74541659110532499</v>
      </c>
      <c r="F88" s="10" t="s">
        <v>17</v>
      </c>
      <c r="G88" s="10" t="s">
        <v>17</v>
      </c>
    </row>
    <row r="89" spans="1:7" x14ac:dyDescent="0.25">
      <c r="A89" s="12" t="s">
        <v>105</v>
      </c>
      <c r="B89" s="13" t="s">
        <v>230</v>
      </c>
      <c r="C89" s="14">
        <v>203783.28</v>
      </c>
      <c r="D89" s="14">
        <v>43809.54</v>
      </c>
      <c r="E89" s="15">
        <v>0.21498103279130701</v>
      </c>
      <c r="F89" s="16" t="s">
        <v>292</v>
      </c>
      <c r="G89" s="17">
        <f>(D89 / F89)</f>
        <v>11.840416216216216</v>
      </c>
    </row>
    <row r="90" spans="1:7" x14ac:dyDescent="0.25">
      <c r="A90" s="6" t="s">
        <v>106</v>
      </c>
      <c r="B90" s="7" t="s">
        <v>238</v>
      </c>
      <c r="C90" s="8">
        <v>200353.55</v>
      </c>
      <c r="D90" s="8">
        <v>12051.98</v>
      </c>
      <c r="E90" s="9">
        <v>6.01535635380556E-2</v>
      </c>
      <c r="F90" s="10" t="s">
        <v>17</v>
      </c>
      <c r="G90" s="10" t="s">
        <v>17</v>
      </c>
    </row>
    <row r="91" spans="1:7" x14ac:dyDescent="0.25">
      <c r="A91" s="6" t="s">
        <v>107</v>
      </c>
      <c r="B91" s="7" t="s">
        <v>239</v>
      </c>
      <c r="C91" s="8">
        <v>191857.44</v>
      </c>
      <c r="D91" s="8">
        <v>159787.12</v>
      </c>
      <c r="E91" s="9">
        <v>0.83284296923799295</v>
      </c>
      <c r="F91" s="10" t="s">
        <v>17</v>
      </c>
      <c r="G91" s="10" t="s">
        <v>17</v>
      </c>
    </row>
    <row r="92" spans="1:7" x14ac:dyDescent="0.25">
      <c r="A92" s="6" t="s">
        <v>108</v>
      </c>
      <c r="B92" s="7" t="s">
        <v>275</v>
      </c>
      <c r="C92" s="8">
        <v>173493.61</v>
      </c>
      <c r="D92" s="8">
        <v>4809.4799999999996</v>
      </c>
      <c r="E92" s="9">
        <v>2.7721366798465999E-2</v>
      </c>
      <c r="F92" s="10" t="s">
        <v>17</v>
      </c>
      <c r="G92" s="10" t="s">
        <v>17</v>
      </c>
    </row>
    <row r="93" spans="1:7" x14ac:dyDescent="0.25">
      <c r="A93" s="6" t="s">
        <v>109</v>
      </c>
      <c r="B93" s="7" t="s">
        <v>240</v>
      </c>
      <c r="C93" s="8">
        <v>162570.20000000001</v>
      </c>
      <c r="D93" s="8">
        <v>12007.99</v>
      </c>
      <c r="E93" s="9">
        <v>7.38634140820396E-2</v>
      </c>
      <c r="F93" s="10" t="s">
        <v>17</v>
      </c>
      <c r="G93" s="10" t="s">
        <v>17</v>
      </c>
    </row>
    <row r="94" spans="1:7" x14ac:dyDescent="0.25">
      <c r="A94" s="6" t="s">
        <v>110</v>
      </c>
      <c r="B94" s="7" t="s">
        <v>276</v>
      </c>
      <c r="C94" s="8">
        <v>153633.15</v>
      </c>
      <c r="D94" s="8">
        <v>19448.939999999999</v>
      </c>
      <c r="E94" s="9">
        <v>0.12659338170180101</v>
      </c>
      <c r="F94" s="10" t="s">
        <v>17</v>
      </c>
      <c r="G94" s="10" t="s">
        <v>17</v>
      </c>
    </row>
    <row r="95" spans="1:7" x14ac:dyDescent="0.25">
      <c r="A95" s="6" t="s">
        <v>111</v>
      </c>
      <c r="B95" s="7" t="s">
        <v>307</v>
      </c>
      <c r="C95" s="8">
        <v>151257.59</v>
      </c>
      <c r="D95" s="8">
        <v>89221.67</v>
      </c>
      <c r="E95" s="9">
        <v>0.58986573830774403</v>
      </c>
      <c r="F95" s="10" t="s">
        <v>17</v>
      </c>
      <c r="G95" s="10" t="s">
        <v>17</v>
      </c>
    </row>
    <row r="96" spans="1:7" x14ac:dyDescent="0.25">
      <c r="A96" s="6" t="s">
        <v>112</v>
      </c>
      <c r="B96" s="7" t="s">
        <v>243</v>
      </c>
      <c r="C96" s="8">
        <v>148569.72</v>
      </c>
      <c r="D96" s="8">
        <v>10988.8</v>
      </c>
      <c r="E96" s="9">
        <v>7.3963927508243293E-2</v>
      </c>
      <c r="F96" s="10" t="s">
        <v>17</v>
      </c>
      <c r="G96" s="10" t="s">
        <v>17</v>
      </c>
    </row>
    <row r="97" spans="1:7" x14ac:dyDescent="0.25">
      <c r="A97" s="6" t="s">
        <v>113</v>
      </c>
      <c r="B97" s="7" t="s">
        <v>241</v>
      </c>
      <c r="C97" s="8">
        <v>145083.76999999999</v>
      </c>
      <c r="D97" s="8">
        <v>18468.89</v>
      </c>
      <c r="E97" s="9">
        <v>0.12729811198040999</v>
      </c>
      <c r="F97" s="10" t="s">
        <v>16</v>
      </c>
      <c r="G97" s="11">
        <f>(D97 / F97)</f>
        <v>51.589078212290502</v>
      </c>
    </row>
    <row r="98" spans="1:7" x14ac:dyDescent="0.25">
      <c r="A98" s="6" t="s">
        <v>114</v>
      </c>
      <c r="B98" s="7" t="s">
        <v>244</v>
      </c>
      <c r="C98" s="8">
        <v>142840.49</v>
      </c>
      <c r="D98" s="8">
        <v>5859.28</v>
      </c>
      <c r="E98" s="9">
        <v>4.1019741671286601E-2</v>
      </c>
      <c r="F98" s="10" t="s">
        <v>17</v>
      </c>
      <c r="G98" s="10" t="s">
        <v>17</v>
      </c>
    </row>
    <row r="99" spans="1:7" x14ac:dyDescent="0.25">
      <c r="A99" s="6" t="s">
        <v>115</v>
      </c>
      <c r="B99" s="7" t="s">
        <v>320</v>
      </c>
      <c r="C99" s="8">
        <v>139018.95000000001</v>
      </c>
      <c r="D99" s="8">
        <v>139018.95000000001</v>
      </c>
      <c r="E99" s="9">
        <v>1</v>
      </c>
      <c r="F99" s="10" t="s">
        <v>17</v>
      </c>
      <c r="G99" s="10" t="s">
        <v>17</v>
      </c>
    </row>
    <row r="100" spans="1:7" x14ac:dyDescent="0.25">
      <c r="A100" s="6" t="s">
        <v>116</v>
      </c>
      <c r="B100" s="7" t="s">
        <v>246</v>
      </c>
      <c r="C100" s="8">
        <v>134670.22</v>
      </c>
      <c r="D100" s="8">
        <v>9391.35</v>
      </c>
      <c r="E100" s="9">
        <v>6.9735907463431807E-2</v>
      </c>
      <c r="F100" s="10" t="s">
        <v>17</v>
      </c>
      <c r="G100" s="10" t="s">
        <v>17</v>
      </c>
    </row>
    <row r="101" spans="1:7" x14ac:dyDescent="0.25">
      <c r="A101" s="6" t="s">
        <v>117</v>
      </c>
      <c r="B101" s="7" t="s">
        <v>242</v>
      </c>
      <c r="C101" s="8">
        <v>133174.75</v>
      </c>
      <c r="D101" s="8">
        <v>48019.72</v>
      </c>
      <c r="E101" s="9">
        <v>0.360576760985097</v>
      </c>
      <c r="F101" s="10" t="s">
        <v>17</v>
      </c>
      <c r="G101" s="10" t="s">
        <v>17</v>
      </c>
    </row>
    <row r="102" spans="1:7" x14ac:dyDescent="0.25">
      <c r="A102" s="6" t="s">
        <v>118</v>
      </c>
      <c r="B102" s="7" t="s">
        <v>245</v>
      </c>
      <c r="C102" s="8">
        <v>127691.8</v>
      </c>
      <c r="D102" s="8">
        <v>8259.66</v>
      </c>
      <c r="E102" s="9">
        <v>6.4684341516056607E-2</v>
      </c>
      <c r="F102" s="10" t="s">
        <v>17</v>
      </c>
      <c r="G102" s="10" t="s">
        <v>17</v>
      </c>
    </row>
    <row r="103" spans="1:7" x14ac:dyDescent="0.25">
      <c r="A103" s="6" t="s">
        <v>119</v>
      </c>
      <c r="B103" s="7" t="s">
        <v>247</v>
      </c>
      <c r="C103" s="8">
        <v>126490.37</v>
      </c>
      <c r="D103" s="8">
        <v>20311</v>
      </c>
      <c r="E103" s="9">
        <v>0.160573488716967</v>
      </c>
      <c r="F103" s="10" t="s">
        <v>17</v>
      </c>
      <c r="G103" s="10" t="s">
        <v>17</v>
      </c>
    </row>
    <row r="104" spans="1:7" x14ac:dyDescent="0.25">
      <c r="A104" s="6" t="s">
        <v>120</v>
      </c>
      <c r="B104" s="7" t="s">
        <v>306</v>
      </c>
      <c r="C104" s="8">
        <v>125788.48</v>
      </c>
      <c r="D104" s="8">
        <v>11975.94</v>
      </c>
      <c r="E104" s="9">
        <v>9.5206969668446606E-2</v>
      </c>
      <c r="F104" s="10" t="s">
        <v>17</v>
      </c>
      <c r="G104" s="10" t="s">
        <v>17</v>
      </c>
    </row>
    <row r="105" spans="1:7" x14ac:dyDescent="0.25">
      <c r="A105" s="6" t="s">
        <v>121</v>
      </c>
      <c r="B105" s="7" t="s">
        <v>248</v>
      </c>
      <c r="C105" s="8">
        <v>113558.84</v>
      </c>
      <c r="D105" s="8">
        <v>4094.34</v>
      </c>
      <c r="E105" s="9">
        <v>3.6054788865402303E-2</v>
      </c>
      <c r="F105" s="10" t="s">
        <v>17</v>
      </c>
      <c r="G105" s="10" t="s">
        <v>17</v>
      </c>
    </row>
    <row r="106" spans="1:7" x14ac:dyDescent="0.25">
      <c r="A106" s="6" t="s">
        <v>122</v>
      </c>
      <c r="B106" s="7" t="s">
        <v>295</v>
      </c>
      <c r="C106" s="8">
        <v>109608.49</v>
      </c>
      <c r="D106" s="8">
        <v>12150.22</v>
      </c>
      <c r="E106" s="9">
        <v>0.11085108461944899</v>
      </c>
      <c r="F106" s="10" t="s">
        <v>17</v>
      </c>
      <c r="G106" s="10" t="s">
        <v>17</v>
      </c>
    </row>
    <row r="107" spans="1:7" x14ac:dyDescent="0.25">
      <c r="A107" s="6" t="s">
        <v>123</v>
      </c>
      <c r="B107" s="7" t="s">
        <v>249</v>
      </c>
      <c r="C107" s="8">
        <v>102013.43</v>
      </c>
      <c r="D107" s="8">
        <v>13302.45</v>
      </c>
      <c r="E107" s="9">
        <v>0.13039900726796499</v>
      </c>
      <c r="F107" s="10" t="s">
        <v>17</v>
      </c>
      <c r="G107" s="10" t="s">
        <v>17</v>
      </c>
    </row>
    <row r="108" spans="1:7" x14ac:dyDescent="0.25">
      <c r="A108" s="6" t="s">
        <v>124</v>
      </c>
      <c r="B108" s="7" t="s">
        <v>331</v>
      </c>
      <c r="C108" s="8">
        <v>100000</v>
      </c>
      <c r="D108" s="8">
        <v>100000</v>
      </c>
      <c r="E108" s="9">
        <v>1</v>
      </c>
      <c r="F108" s="10" t="s">
        <v>17</v>
      </c>
      <c r="G108" s="10" t="s">
        <v>17</v>
      </c>
    </row>
    <row r="109" spans="1:7" x14ac:dyDescent="0.25">
      <c r="A109" s="6" t="s">
        <v>125</v>
      </c>
      <c r="B109" s="7" t="s">
        <v>309</v>
      </c>
      <c r="C109" s="8">
        <v>96655.88</v>
      </c>
      <c r="D109" s="8">
        <v>12415.85</v>
      </c>
      <c r="E109" s="9">
        <v>0.128454161298826</v>
      </c>
      <c r="F109" s="10" t="s">
        <v>17</v>
      </c>
      <c r="G109" s="10" t="s">
        <v>17</v>
      </c>
    </row>
    <row r="110" spans="1:7" x14ac:dyDescent="0.25">
      <c r="A110" s="6" t="s">
        <v>126</v>
      </c>
      <c r="B110" s="7" t="s">
        <v>317</v>
      </c>
      <c r="C110" s="8">
        <v>89753.15</v>
      </c>
      <c r="D110" s="8">
        <v>596.53</v>
      </c>
      <c r="E110" s="9">
        <v>6.6463405462649497E-3</v>
      </c>
      <c r="F110" s="10" t="s">
        <v>17</v>
      </c>
      <c r="G110" s="10" t="s">
        <v>17</v>
      </c>
    </row>
    <row r="111" spans="1:7" x14ac:dyDescent="0.25">
      <c r="A111" s="6" t="s">
        <v>127</v>
      </c>
      <c r="B111" s="7" t="s">
        <v>253</v>
      </c>
      <c r="C111" s="8">
        <v>83746.42</v>
      </c>
      <c r="D111" s="8">
        <v>5971.26</v>
      </c>
      <c r="E111" s="9">
        <v>7.1301674746216001E-2</v>
      </c>
      <c r="F111" s="10" t="s">
        <v>17</v>
      </c>
      <c r="G111" s="10" t="s">
        <v>17</v>
      </c>
    </row>
    <row r="112" spans="1:7" x14ac:dyDescent="0.25">
      <c r="A112" s="6" t="s">
        <v>128</v>
      </c>
      <c r="B112" s="7" t="s">
        <v>230</v>
      </c>
      <c r="C112" s="8">
        <v>71809.31</v>
      </c>
      <c r="D112" s="8">
        <v>8472.24</v>
      </c>
      <c r="E112" s="9">
        <v>0.117982473303253</v>
      </c>
      <c r="F112" s="10" t="s">
        <v>17</v>
      </c>
      <c r="G112" s="10" t="s">
        <v>17</v>
      </c>
    </row>
    <row r="113" spans="1:7" x14ac:dyDescent="0.25">
      <c r="A113" s="6" t="s">
        <v>129</v>
      </c>
      <c r="B113" s="7" t="s">
        <v>255</v>
      </c>
      <c r="C113" s="8">
        <v>71583.53</v>
      </c>
      <c r="D113" s="8">
        <v>464.3</v>
      </c>
      <c r="E113" s="9">
        <v>6.4861288623234998E-3</v>
      </c>
      <c r="F113" s="10" t="s">
        <v>17</v>
      </c>
      <c r="G113" s="10" t="s">
        <v>17</v>
      </c>
    </row>
    <row r="114" spans="1:7" x14ac:dyDescent="0.25">
      <c r="A114" s="6" t="s">
        <v>130</v>
      </c>
      <c r="B114" s="7" t="s">
        <v>256</v>
      </c>
      <c r="C114" s="8">
        <v>71416.75</v>
      </c>
      <c r="D114" s="8">
        <v>4681.6499999999996</v>
      </c>
      <c r="E114" s="9">
        <v>6.5553949178589102E-2</v>
      </c>
      <c r="F114" s="10" t="s">
        <v>17</v>
      </c>
      <c r="G114" s="10" t="s">
        <v>17</v>
      </c>
    </row>
    <row r="115" spans="1:7" x14ac:dyDescent="0.25">
      <c r="A115" s="6" t="s">
        <v>131</v>
      </c>
      <c r="B115" s="7" t="s">
        <v>321</v>
      </c>
      <c r="C115" s="8">
        <v>71019.350000000006</v>
      </c>
      <c r="D115" s="8">
        <v>42600.27</v>
      </c>
      <c r="E115" s="9">
        <v>0.59984032520714403</v>
      </c>
      <c r="F115" s="10" t="s">
        <v>17</v>
      </c>
      <c r="G115" s="10" t="s">
        <v>17</v>
      </c>
    </row>
    <row r="116" spans="1:7" x14ac:dyDescent="0.25">
      <c r="A116" s="6" t="s">
        <v>132</v>
      </c>
      <c r="B116" s="7" t="s">
        <v>258</v>
      </c>
      <c r="C116" s="8">
        <v>66635.81</v>
      </c>
      <c r="D116" s="8">
        <v>4275.08</v>
      </c>
      <c r="E116" s="9">
        <v>6.4155894555795207E-2</v>
      </c>
      <c r="F116" s="10" t="s">
        <v>17</v>
      </c>
      <c r="G116" s="10" t="s">
        <v>17</v>
      </c>
    </row>
    <row r="117" spans="1:7" x14ac:dyDescent="0.25">
      <c r="A117" s="6" t="s">
        <v>133</v>
      </c>
      <c r="B117" s="7" t="s">
        <v>257</v>
      </c>
      <c r="C117" s="8">
        <v>56202.85</v>
      </c>
      <c r="D117" s="8">
        <v>1553.66</v>
      </c>
      <c r="E117" s="9">
        <v>2.7643793864546001E-2</v>
      </c>
      <c r="F117" s="10" t="s">
        <v>17</v>
      </c>
      <c r="G117" s="10" t="s">
        <v>17</v>
      </c>
    </row>
    <row r="118" spans="1:7" x14ac:dyDescent="0.25">
      <c r="A118" s="6" t="s">
        <v>134</v>
      </c>
      <c r="B118" s="7" t="s">
        <v>259</v>
      </c>
      <c r="C118" s="8">
        <v>53745.65</v>
      </c>
      <c r="D118" s="8">
        <v>3760.91</v>
      </c>
      <c r="E118" s="9">
        <v>6.9976081785223507E-2</v>
      </c>
      <c r="F118" s="10" t="s">
        <v>17</v>
      </c>
      <c r="G118" s="10" t="s">
        <v>17</v>
      </c>
    </row>
    <row r="119" spans="1:7" x14ac:dyDescent="0.25">
      <c r="A119" s="6" t="s">
        <v>135</v>
      </c>
      <c r="B119" s="7" t="s">
        <v>262</v>
      </c>
      <c r="C119" s="8">
        <v>50279.5</v>
      </c>
      <c r="D119" s="8">
        <v>6312.93</v>
      </c>
      <c r="E119" s="9">
        <v>0.1255567378355</v>
      </c>
      <c r="F119" s="10" t="s">
        <v>17</v>
      </c>
      <c r="G119" s="10" t="s">
        <v>17</v>
      </c>
    </row>
    <row r="120" spans="1:7" x14ac:dyDescent="0.25">
      <c r="A120" s="6" t="s">
        <v>136</v>
      </c>
      <c r="B120" s="7" t="s">
        <v>291</v>
      </c>
      <c r="C120" s="8">
        <v>49191.22</v>
      </c>
      <c r="D120" s="8">
        <v>7051.57</v>
      </c>
      <c r="E120" s="9">
        <v>0.143350175092222</v>
      </c>
      <c r="F120" s="10" t="s">
        <v>17</v>
      </c>
      <c r="G120" s="10" t="s">
        <v>17</v>
      </c>
    </row>
    <row r="121" spans="1:7" x14ac:dyDescent="0.25">
      <c r="A121" s="6" t="s">
        <v>137</v>
      </c>
      <c r="B121" s="7" t="s">
        <v>260</v>
      </c>
      <c r="C121" s="8">
        <v>41418.199999999997</v>
      </c>
      <c r="D121" s="8">
        <v>345.25</v>
      </c>
      <c r="E121" s="9">
        <v>8.3357074909097897E-3</v>
      </c>
      <c r="F121" s="10" t="s">
        <v>17</v>
      </c>
      <c r="G121" s="10" t="s">
        <v>17</v>
      </c>
    </row>
    <row r="122" spans="1:7" x14ac:dyDescent="0.25">
      <c r="A122" s="6" t="s">
        <v>138</v>
      </c>
      <c r="B122" s="7" t="s">
        <v>283</v>
      </c>
      <c r="C122" s="8">
        <v>41300.410000000003</v>
      </c>
      <c r="D122" s="8">
        <v>509.96</v>
      </c>
      <c r="E122" s="9">
        <v>1.23475771790159E-2</v>
      </c>
      <c r="F122" s="10" t="s">
        <v>17</v>
      </c>
      <c r="G122" s="10" t="s">
        <v>17</v>
      </c>
    </row>
    <row r="123" spans="1:7" x14ac:dyDescent="0.25">
      <c r="A123" s="6" t="s">
        <v>139</v>
      </c>
      <c r="B123" s="7" t="s">
        <v>310</v>
      </c>
      <c r="C123" s="8">
        <v>39891.61</v>
      </c>
      <c r="D123" s="8">
        <v>8096.95</v>
      </c>
      <c r="E123" s="9">
        <v>0.20297375814112301</v>
      </c>
      <c r="F123" s="10" t="s">
        <v>17</v>
      </c>
      <c r="G123" s="10" t="s">
        <v>17</v>
      </c>
    </row>
    <row r="124" spans="1:7" x14ac:dyDescent="0.25">
      <c r="A124" s="6" t="s">
        <v>140</v>
      </c>
      <c r="B124" s="7" t="s">
        <v>263</v>
      </c>
      <c r="C124" s="8">
        <v>37470.949999999997</v>
      </c>
      <c r="D124" s="8">
        <v>990.22</v>
      </c>
      <c r="E124" s="9">
        <v>2.64263382700465E-2</v>
      </c>
      <c r="F124" s="10" t="s">
        <v>17</v>
      </c>
      <c r="G124" s="10" t="s">
        <v>17</v>
      </c>
    </row>
    <row r="125" spans="1:7" x14ac:dyDescent="0.25">
      <c r="A125" s="6" t="s">
        <v>141</v>
      </c>
      <c r="B125" s="7" t="s">
        <v>251</v>
      </c>
      <c r="C125" s="8">
        <v>36271.81</v>
      </c>
      <c r="D125" s="8">
        <v>1935.62</v>
      </c>
      <c r="E125" s="9">
        <v>5.3364306881845701E-2</v>
      </c>
      <c r="F125" s="10" t="s">
        <v>17</v>
      </c>
      <c r="G125" s="10" t="s">
        <v>17</v>
      </c>
    </row>
    <row r="126" spans="1:7" x14ac:dyDescent="0.25">
      <c r="A126" s="6" t="s">
        <v>142</v>
      </c>
      <c r="B126" s="7" t="s">
        <v>266</v>
      </c>
      <c r="C126" s="8">
        <v>34207.82</v>
      </c>
      <c r="D126" s="8">
        <v>11635.45</v>
      </c>
      <c r="E126" s="9">
        <v>0.34014006154148402</v>
      </c>
      <c r="F126" s="10" t="s">
        <v>17</v>
      </c>
      <c r="G126" s="10" t="s">
        <v>17</v>
      </c>
    </row>
    <row r="127" spans="1:7" x14ac:dyDescent="0.25">
      <c r="A127" s="6" t="s">
        <v>143</v>
      </c>
      <c r="B127" s="7" t="s">
        <v>265</v>
      </c>
      <c r="C127" s="8">
        <v>31351.94</v>
      </c>
      <c r="D127" s="8">
        <v>4907.5600000000004</v>
      </c>
      <c r="E127" s="9">
        <v>0.15653130236916801</v>
      </c>
      <c r="F127" s="10" t="s">
        <v>17</v>
      </c>
      <c r="G127" s="10" t="s">
        <v>17</v>
      </c>
    </row>
    <row r="128" spans="1:7" x14ac:dyDescent="0.25">
      <c r="A128" s="6" t="s">
        <v>144</v>
      </c>
      <c r="B128" s="7" t="s">
        <v>264</v>
      </c>
      <c r="C128" s="8">
        <v>30759.31</v>
      </c>
      <c r="D128" s="8">
        <v>1330.61</v>
      </c>
      <c r="E128" s="9">
        <v>4.3258772709790998E-2</v>
      </c>
      <c r="F128" s="10" t="s">
        <v>17</v>
      </c>
      <c r="G128" s="10" t="s">
        <v>17</v>
      </c>
    </row>
    <row r="129" spans="1:7" x14ac:dyDescent="0.25">
      <c r="A129" s="6" t="s">
        <v>145</v>
      </c>
      <c r="B129" s="7" t="s">
        <v>311</v>
      </c>
      <c r="C129" s="8">
        <v>27845.68</v>
      </c>
      <c r="D129" s="8">
        <v>2376</v>
      </c>
      <c r="E129" s="9">
        <v>8.5327418831215501E-2</v>
      </c>
      <c r="F129" s="10" t="s">
        <v>17</v>
      </c>
      <c r="G129" s="10" t="s">
        <v>17</v>
      </c>
    </row>
    <row r="130" spans="1:7" x14ac:dyDescent="0.25">
      <c r="A130" s="6" t="s">
        <v>146</v>
      </c>
      <c r="B130" s="7" t="s">
        <v>267</v>
      </c>
      <c r="C130" s="8">
        <v>17327.86</v>
      </c>
      <c r="D130" s="8">
        <v>1233.58</v>
      </c>
      <c r="E130" s="9">
        <v>7.1190556710407402E-2</v>
      </c>
      <c r="F130" s="10" t="s">
        <v>17</v>
      </c>
      <c r="G130" s="10" t="s">
        <v>17</v>
      </c>
    </row>
    <row r="131" spans="1:7" x14ac:dyDescent="0.25">
      <c r="A131" s="6" t="s">
        <v>147</v>
      </c>
      <c r="B131" s="7" t="s">
        <v>268</v>
      </c>
      <c r="C131" s="8">
        <v>17083.72</v>
      </c>
      <c r="D131" s="8">
        <v>870.28</v>
      </c>
      <c r="E131" s="9">
        <v>5.09420664820074E-2</v>
      </c>
      <c r="F131" s="10" t="s">
        <v>17</v>
      </c>
      <c r="G131" s="10" t="s">
        <v>17</v>
      </c>
    </row>
    <row r="132" spans="1:7" x14ac:dyDescent="0.25">
      <c r="A132" s="6" t="s">
        <v>148</v>
      </c>
      <c r="B132" s="7" t="s">
        <v>270</v>
      </c>
      <c r="C132" s="8">
        <v>14519.87</v>
      </c>
      <c r="D132" s="8">
        <v>120.25</v>
      </c>
      <c r="E132" s="9">
        <v>8.2817545887118801E-3</v>
      </c>
      <c r="F132" s="10" t="s">
        <v>17</v>
      </c>
      <c r="G132" s="10" t="s">
        <v>17</v>
      </c>
    </row>
    <row r="133" spans="1:7" x14ac:dyDescent="0.25">
      <c r="A133" s="6" t="s">
        <v>149</v>
      </c>
      <c r="B133" s="7" t="s">
        <v>269</v>
      </c>
      <c r="C133" s="8">
        <v>14504.08</v>
      </c>
      <c r="D133" s="8">
        <v>1490.94</v>
      </c>
      <c r="E133" s="9">
        <v>0.10279452402358499</v>
      </c>
      <c r="F133" s="10" t="s">
        <v>17</v>
      </c>
      <c r="G133" s="10" t="s">
        <v>17</v>
      </c>
    </row>
    <row r="134" spans="1:7" x14ac:dyDescent="0.25">
      <c r="A134" s="6" t="s">
        <v>150</v>
      </c>
      <c r="B134" s="7" t="s">
        <v>277</v>
      </c>
      <c r="C134" s="8">
        <v>13606.33</v>
      </c>
      <c r="D134" s="8">
        <v>804.01</v>
      </c>
      <c r="E134" s="9">
        <v>5.9090879024689201E-2</v>
      </c>
      <c r="F134" s="10" t="s">
        <v>17</v>
      </c>
      <c r="G134" s="10" t="s">
        <v>17</v>
      </c>
    </row>
    <row r="135" spans="1:7" x14ac:dyDescent="0.25">
      <c r="A135" s="6" t="s">
        <v>151</v>
      </c>
      <c r="B135" s="7" t="s">
        <v>286</v>
      </c>
      <c r="C135" s="8">
        <v>7837.02</v>
      </c>
      <c r="D135" s="8">
        <v>81.739999999999995</v>
      </c>
      <c r="E135" s="9">
        <v>1.0429984866696799E-2</v>
      </c>
      <c r="F135" s="10" t="s">
        <v>17</v>
      </c>
      <c r="G135" s="10" t="s">
        <v>17</v>
      </c>
    </row>
    <row r="136" spans="1:7" x14ac:dyDescent="0.25">
      <c r="A136" s="6" t="s">
        <v>152</v>
      </c>
      <c r="B136" s="7" t="s">
        <v>322</v>
      </c>
      <c r="C136" s="8">
        <v>3792.45</v>
      </c>
      <c r="D136" s="8">
        <v>37.25</v>
      </c>
      <c r="E136" s="9">
        <v>9.8221466334427604E-3</v>
      </c>
      <c r="F136" s="10" t="s">
        <v>17</v>
      </c>
      <c r="G136" s="10" t="s">
        <v>17</v>
      </c>
    </row>
    <row r="137" spans="1:7" x14ac:dyDescent="0.25">
      <c r="A137" s="6" t="s">
        <v>153</v>
      </c>
      <c r="B137" s="7" t="s">
        <v>312</v>
      </c>
      <c r="C137" s="8">
        <v>2448.1</v>
      </c>
      <c r="D137" s="8">
        <v>55.2</v>
      </c>
      <c r="E137" s="9">
        <v>2.2548098525387E-2</v>
      </c>
      <c r="F137" s="10" t="s">
        <v>17</v>
      </c>
      <c r="G137" s="10" t="s">
        <v>17</v>
      </c>
    </row>
    <row r="138" spans="1:7" x14ac:dyDescent="0.25">
      <c r="A138" s="6" t="s">
        <v>154</v>
      </c>
      <c r="B138" s="7" t="s">
        <v>313</v>
      </c>
      <c r="C138" s="8">
        <v>1907.14</v>
      </c>
      <c r="D138" s="8">
        <v>284.02999999999997</v>
      </c>
      <c r="E138" s="9">
        <v>0.148929811130803</v>
      </c>
      <c r="F138" s="10" t="s">
        <v>17</v>
      </c>
      <c r="G138" s="10" t="s">
        <v>17</v>
      </c>
    </row>
    <row r="139" spans="1:7" x14ac:dyDescent="0.25">
      <c r="A139" s="6" t="s">
        <v>155</v>
      </c>
      <c r="B139" s="7" t="s">
        <v>323</v>
      </c>
      <c r="C139" s="8">
        <v>1000.02</v>
      </c>
      <c r="D139" s="8">
        <v>1000.02</v>
      </c>
      <c r="E139" s="9">
        <v>1</v>
      </c>
      <c r="F139" s="10" t="s">
        <v>17</v>
      </c>
      <c r="G139" s="10" t="s">
        <v>17</v>
      </c>
    </row>
    <row r="140" spans="1:7" x14ac:dyDescent="0.25">
      <c r="A140" s="6" t="s">
        <v>156</v>
      </c>
      <c r="B140" s="7" t="s">
        <v>324</v>
      </c>
      <c r="C140" s="8">
        <v>511.34</v>
      </c>
      <c r="D140" s="8">
        <v>81.819999999999993</v>
      </c>
      <c r="E140" s="9">
        <v>0.16001095161731901</v>
      </c>
      <c r="F140" s="10" t="s">
        <v>17</v>
      </c>
      <c r="G140" s="10" t="s">
        <v>17</v>
      </c>
    </row>
    <row r="141" spans="1:7" x14ac:dyDescent="0.25">
      <c r="A141" s="6" t="s">
        <v>328</v>
      </c>
      <c r="B141" s="7" t="s">
        <v>318</v>
      </c>
      <c r="C141" s="8">
        <v>299.95</v>
      </c>
      <c r="D141" s="8">
        <v>299.95</v>
      </c>
      <c r="E141" s="9">
        <v>1</v>
      </c>
      <c r="F141" s="10" t="s">
        <v>17</v>
      </c>
      <c r="G141" s="10" t="s">
        <v>17</v>
      </c>
    </row>
    <row r="142" spans="1:7" x14ac:dyDescent="0.25">
      <c r="A142" s="6" t="s">
        <v>330</v>
      </c>
      <c r="B142" s="7" t="s">
        <v>319</v>
      </c>
      <c r="C142" s="8">
        <v>0</v>
      </c>
      <c r="D142" s="8">
        <v>0</v>
      </c>
      <c r="E142" s="9">
        <v>0</v>
      </c>
      <c r="F142" s="10" t="s">
        <v>17</v>
      </c>
      <c r="G142" s="10" t="s">
        <v>17</v>
      </c>
    </row>
    <row r="143" spans="1:7" x14ac:dyDescent="0.25">
      <c r="C143" s="8"/>
      <c r="D143" s="8"/>
      <c r="E143" s="9"/>
    </row>
    <row r="144" spans="1:7" x14ac:dyDescent="0.25">
      <c r="C144" s="8"/>
      <c r="D144" s="8"/>
      <c r="E144" s="9"/>
    </row>
    <row r="145" spans="1:7" x14ac:dyDescent="0.25">
      <c r="C145" s="8"/>
      <c r="D145" s="8"/>
      <c r="E145" s="9"/>
    </row>
    <row r="146" spans="1:7" x14ac:dyDescent="0.25">
      <c r="C146" s="8"/>
      <c r="D146" s="8" t="s">
        <v>298</v>
      </c>
      <c r="E146" s="9"/>
    </row>
    <row r="147" spans="1:7" ht="31.5" x14ac:dyDescent="0.25">
      <c r="A147" s="18"/>
      <c r="B147" s="19" t="s">
        <v>157</v>
      </c>
      <c r="C147" s="3" t="s">
        <v>158</v>
      </c>
      <c r="D147" s="3" t="s">
        <v>159</v>
      </c>
      <c r="E147" s="4" t="s">
        <v>160</v>
      </c>
      <c r="F147" s="5" t="s">
        <v>161</v>
      </c>
      <c r="G147" s="5" t="s">
        <v>162</v>
      </c>
    </row>
    <row r="148" spans="1:7" x14ac:dyDescent="0.25">
      <c r="A148" s="6" t="s">
        <v>18</v>
      </c>
      <c r="B148" s="7" t="s">
        <v>315</v>
      </c>
      <c r="C148" s="8">
        <v>3000329.6</v>
      </c>
      <c r="D148" s="8">
        <v>3000329.6</v>
      </c>
      <c r="E148" s="9">
        <v>1</v>
      </c>
      <c r="F148" s="10" t="s">
        <v>17</v>
      </c>
      <c r="G148" s="10" t="s">
        <v>17</v>
      </c>
    </row>
    <row r="149" spans="1:7" x14ac:dyDescent="0.25">
      <c r="A149" s="6" t="s">
        <v>19</v>
      </c>
      <c r="B149" s="7" t="s">
        <v>183</v>
      </c>
      <c r="C149" s="8">
        <v>1275740.18</v>
      </c>
      <c r="D149" s="8">
        <v>203094.28</v>
      </c>
      <c r="E149" s="9">
        <v>0.15919721208436</v>
      </c>
      <c r="F149" s="10" t="s">
        <v>17</v>
      </c>
      <c r="G149" s="10" t="s">
        <v>17</v>
      </c>
    </row>
    <row r="150" spans="1:7" x14ac:dyDescent="0.25">
      <c r="A150" s="6" t="s">
        <v>20</v>
      </c>
      <c r="B150" s="7" t="s">
        <v>165</v>
      </c>
      <c r="C150" s="8">
        <v>1126862.7</v>
      </c>
      <c r="D150" s="8">
        <v>1117478.24</v>
      </c>
      <c r="E150" s="9">
        <v>0.991672046647742</v>
      </c>
      <c r="F150" s="10" t="s">
        <v>17</v>
      </c>
      <c r="G150" s="10" t="s">
        <v>17</v>
      </c>
    </row>
    <row r="151" spans="1:7" x14ac:dyDescent="0.25">
      <c r="A151" s="6" t="s">
        <v>21</v>
      </c>
      <c r="B151" s="7" t="s">
        <v>244</v>
      </c>
      <c r="C151" s="8">
        <v>982209.87</v>
      </c>
      <c r="D151" s="8">
        <v>751.15</v>
      </c>
      <c r="E151" s="9">
        <v>7.6475509251398605E-4</v>
      </c>
      <c r="F151" s="10" t="s">
        <v>17</v>
      </c>
      <c r="G151" s="10" t="s">
        <v>17</v>
      </c>
    </row>
    <row r="152" spans="1:7" x14ac:dyDescent="0.25">
      <c r="A152" s="6" t="s">
        <v>22</v>
      </c>
      <c r="B152" s="7" t="s">
        <v>278</v>
      </c>
      <c r="C152" s="8">
        <v>694754.33</v>
      </c>
      <c r="D152" s="8">
        <v>292102.48</v>
      </c>
      <c r="E152" s="9">
        <v>0.42043995609210499</v>
      </c>
      <c r="F152" s="10" t="s">
        <v>17</v>
      </c>
      <c r="G152" s="10" t="s">
        <v>17</v>
      </c>
    </row>
    <row r="153" spans="1:7" x14ac:dyDescent="0.25">
      <c r="A153" s="6" t="s">
        <v>23</v>
      </c>
      <c r="B153" s="7" t="s">
        <v>325</v>
      </c>
      <c r="C153" s="8">
        <v>589922</v>
      </c>
      <c r="D153" s="8">
        <v>589922</v>
      </c>
      <c r="E153" s="9">
        <v>1</v>
      </c>
      <c r="F153" s="10" t="s">
        <v>17</v>
      </c>
      <c r="G153" s="10" t="s">
        <v>17</v>
      </c>
    </row>
    <row r="154" spans="1:7" x14ac:dyDescent="0.25">
      <c r="A154" s="6" t="s">
        <v>24</v>
      </c>
      <c r="B154" s="7" t="s">
        <v>182</v>
      </c>
      <c r="C154" s="8">
        <v>516673.13</v>
      </c>
      <c r="D154" s="8">
        <v>516673.13</v>
      </c>
      <c r="E154" s="9">
        <v>1</v>
      </c>
      <c r="F154" s="10" t="s">
        <v>17</v>
      </c>
      <c r="G154" s="10" t="s">
        <v>17</v>
      </c>
    </row>
    <row r="155" spans="1:7" x14ac:dyDescent="0.25">
      <c r="A155" s="6" t="s">
        <v>25</v>
      </c>
      <c r="B155" s="7" t="s">
        <v>189</v>
      </c>
      <c r="C155" s="8">
        <v>298540.15999999997</v>
      </c>
      <c r="D155" s="8">
        <v>298540.15999999997</v>
      </c>
      <c r="E155" s="9">
        <v>1</v>
      </c>
      <c r="F155" s="10" t="s">
        <v>17</v>
      </c>
      <c r="G155" s="10" t="s">
        <v>17</v>
      </c>
    </row>
    <row r="156" spans="1:7" x14ac:dyDescent="0.25">
      <c r="A156" s="6" t="s">
        <v>26</v>
      </c>
      <c r="B156" s="7" t="s">
        <v>280</v>
      </c>
      <c r="C156" s="8">
        <v>231399.94</v>
      </c>
      <c r="D156" s="8">
        <v>887.73</v>
      </c>
      <c r="E156" s="9">
        <v>3.8363449878163298E-3</v>
      </c>
      <c r="F156" s="10" t="s">
        <v>17</v>
      </c>
      <c r="G156" s="10" t="s">
        <v>17</v>
      </c>
    </row>
    <row r="157" spans="1:7" x14ac:dyDescent="0.25">
      <c r="A157" s="6" t="s">
        <v>27</v>
      </c>
      <c r="B157" s="7" t="s">
        <v>173</v>
      </c>
      <c r="C157" s="8">
        <v>209374.96</v>
      </c>
      <c r="D157" s="8">
        <v>28541.66</v>
      </c>
      <c r="E157" s="9">
        <v>0.13631840216232199</v>
      </c>
      <c r="F157" s="10" t="s">
        <v>17</v>
      </c>
      <c r="G157" s="10" t="s">
        <v>17</v>
      </c>
    </row>
    <row r="158" spans="1:7" x14ac:dyDescent="0.25">
      <c r="A158" s="6" t="s">
        <v>28</v>
      </c>
      <c r="B158" s="7" t="s">
        <v>205</v>
      </c>
      <c r="C158" s="8">
        <v>205650.99</v>
      </c>
      <c r="D158" s="8">
        <v>23301.82</v>
      </c>
      <c r="E158" s="9">
        <v>0.113307599443115</v>
      </c>
      <c r="F158" s="10" t="s">
        <v>17</v>
      </c>
      <c r="G158" s="10" t="s">
        <v>17</v>
      </c>
    </row>
    <row r="159" spans="1:7" x14ac:dyDescent="0.25">
      <c r="A159" s="6" t="s">
        <v>29</v>
      </c>
      <c r="B159" s="7" t="s">
        <v>186</v>
      </c>
      <c r="C159" s="8">
        <v>202257.15</v>
      </c>
      <c r="D159" s="8">
        <v>202257.15</v>
      </c>
      <c r="E159" s="9">
        <v>1</v>
      </c>
      <c r="F159" s="10" t="s">
        <v>17</v>
      </c>
      <c r="G159" s="10" t="s">
        <v>17</v>
      </c>
    </row>
    <row r="160" spans="1:7" x14ac:dyDescent="0.25">
      <c r="A160" s="6" t="s">
        <v>30</v>
      </c>
      <c r="B160" s="7" t="s">
        <v>224</v>
      </c>
      <c r="C160" s="8">
        <v>201401.3</v>
      </c>
      <c r="D160" s="8">
        <v>201401.3</v>
      </c>
      <c r="E160" s="9">
        <v>1</v>
      </c>
      <c r="F160" s="10" t="s">
        <v>17</v>
      </c>
      <c r="G160" s="10" t="s">
        <v>17</v>
      </c>
    </row>
    <row r="161" spans="1:7" x14ac:dyDescent="0.25">
      <c r="A161" s="6" t="s">
        <v>31</v>
      </c>
      <c r="B161" s="7" t="s">
        <v>195</v>
      </c>
      <c r="C161" s="8">
        <v>171246.75</v>
      </c>
      <c r="D161" s="8">
        <v>70896.710000000006</v>
      </c>
      <c r="E161" s="9">
        <v>0.41400324385718301</v>
      </c>
      <c r="F161" s="10" t="s">
        <v>17</v>
      </c>
      <c r="G161" s="10" t="s">
        <v>17</v>
      </c>
    </row>
    <row r="162" spans="1:7" x14ac:dyDescent="0.25">
      <c r="A162" s="6" t="s">
        <v>32</v>
      </c>
      <c r="B162" s="7" t="s">
        <v>180</v>
      </c>
      <c r="C162" s="8">
        <v>157675.85</v>
      </c>
      <c r="D162" s="8">
        <v>1251.25</v>
      </c>
      <c r="E162" s="9">
        <v>7.9355843015908901E-3</v>
      </c>
      <c r="F162" s="10" t="s">
        <v>17</v>
      </c>
      <c r="G162" s="10" t="s">
        <v>17</v>
      </c>
    </row>
    <row r="163" spans="1:7" x14ac:dyDescent="0.25">
      <c r="A163" s="6" t="s">
        <v>33</v>
      </c>
      <c r="B163" s="7" t="s">
        <v>163</v>
      </c>
      <c r="C163" s="8">
        <v>150059.4</v>
      </c>
      <c r="D163" s="8">
        <v>50.14</v>
      </c>
      <c r="E163" s="9">
        <v>3.34134349464279E-4</v>
      </c>
      <c r="F163" s="10" t="s">
        <v>17</v>
      </c>
      <c r="G163" s="10" t="s">
        <v>17</v>
      </c>
    </row>
    <row r="164" spans="1:7" x14ac:dyDescent="0.25">
      <c r="A164" s="6" t="s">
        <v>34</v>
      </c>
      <c r="B164" s="7" t="s">
        <v>211</v>
      </c>
      <c r="C164" s="8">
        <v>143669.88</v>
      </c>
      <c r="D164" s="8">
        <v>12266.13</v>
      </c>
      <c r="E164" s="9">
        <v>8.5377185531163496E-2</v>
      </c>
      <c r="F164" s="10" t="s">
        <v>17</v>
      </c>
      <c r="G164" s="10" t="s">
        <v>17</v>
      </c>
    </row>
    <row r="165" spans="1:7" x14ac:dyDescent="0.25">
      <c r="A165" s="6" t="s">
        <v>35</v>
      </c>
      <c r="B165" s="7" t="s">
        <v>254</v>
      </c>
      <c r="C165" s="8">
        <v>139804.39000000001</v>
      </c>
      <c r="D165" s="8">
        <v>16531.11</v>
      </c>
      <c r="E165" s="9">
        <v>0.118244570145473</v>
      </c>
      <c r="F165" s="10" t="s">
        <v>17</v>
      </c>
      <c r="G165" s="10" t="s">
        <v>17</v>
      </c>
    </row>
    <row r="166" spans="1:7" x14ac:dyDescent="0.25">
      <c r="A166" s="6" t="s">
        <v>36</v>
      </c>
      <c r="B166" s="7" t="s">
        <v>279</v>
      </c>
      <c r="C166" s="8">
        <v>134908.72</v>
      </c>
      <c r="D166" s="8">
        <v>134908.72</v>
      </c>
      <c r="E166" s="9">
        <v>1</v>
      </c>
      <c r="F166" s="10" t="s">
        <v>17</v>
      </c>
      <c r="G166" s="10" t="s">
        <v>17</v>
      </c>
    </row>
    <row r="167" spans="1:7" x14ac:dyDescent="0.25">
      <c r="A167" s="6" t="s">
        <v>37</v>
      </c>
      <c r="B167" s="7" t="s">
        <v>187</v>
      </c>
      <c r="C167" s="8">
        <v>131167.23000000001</v>
      </c>
      <c r="D167" s="8">
        <v>131167.23000000001</v>
      </c>
      <c r="E167" s="9">
        <v>1</v>
      </c>
      <c r="F167" s="10" t="s">
        <v>17</v>
      </c>
      <c r="G167" s="10" t="s">
        <v>17</v>
      </c>
    </row>
    <row r="168" spans="1:7" x14ac:dyDescent="0.25">
      <c r="A168" s="6" t="s">
        <v>38</v>
      </c>
      <c r="B168" s="7" t="s">
        <v>303</v>
      </c>
      <c r="C168" s="8">
        <v>121006.87</v>
      </c>
      <c r="D168" s="8">
        <v>121006.87</v>
      </c>
      <c r="E168" s="9">
        <v>1</v>
      </c>
      <c r="F168" s="10" t="s">
        <v>17</v>
      </c>
      <c r="G168" s="10" t="s">
        <v>17</v>
      </c>
    </row>
    <row r="169" spans="1:7" x14ac:dyDescent="0.25">
      <c r="A169" s="6" t="s">
        <v>39</v>
      </c>
      <c r="B169" s="7" t="s">
        <v>215</v>
      </c>
      <c r="C169" s="8">
        <v>119549.2</v>
      </c>
      <c r="D169" s="8">
        <v>935.69</v>
      </c>
      <c r="E169" s="9">
        <v>7.8268194182813406E-3</v>
      </c>
      <c r="F169" s="10" t="s">
        <v>17</v>
      </c>
      <c r="G169" s="10" t="s">
        <v>17</v>
      </c>
    </row>
    <row r="170" spans="1:7" x14ac:dyDescent="0.25">
      <c r="A170" s="6" t="s">
        <v>40</v>
      </c>
      <c r="B170" s="7" t="s">
        <v>308</v>
      </c>
      <c r="C170" s="8">
        <v>99770.111399999994</v>
      </c>
      <c r="D170" s="8">
        <v>2017.19</v>
      </c>
      <c r="E170" s="9">
        <v>2.0218379750150301E-2</v>
      </c>
      <c r="F170" s="10" t="s">
        <v>17</v>
      </c>
      <c r="G170" s="10" t="s">
        <v>17</v>
      </c>
    </row>
    <row r="171" spans="1:7" x14ac:dyDescent="0.25">
      <c r="A171" s="6" t="s">
        <v>41</v>
      </c>
      <c r="B171" s="7" t="s">
        <v>294</v>
      </c>
      <c r="C171" s="8">
        <v>83125.63</v>
      </c>
      <c r="D171" s="8">
        <v>46107.81</v>
      </c>
      <c r="E171" s="9">
        <v>0.55467621719077498</v>
      </c>
      <c r="F171" s="10" t="s">
        <v>17</v>
      </c>
      <c r="G171" s="10" t="s">
        <v>17</v>
      </c>
    </row>
    <row r="172" spans="1:7" x14ac:dyDescent="0.25">
      <c r="A172" s="6" t="s">
        <v>42</v>
      </c>
      <c r="B172" s="7" t="s">
        <v>184</v>
      </c>
      <c r="C172" s="8">
        <v>80131.839999999997</v>
      </c>
      <c r="D172" s="8">
        <v>80131.839999999997</v>
      </c>
      <c r="E172" s="9">
        <v>1</v>
      </c>
      <c r="F172" s="10" t="s">
        <v>17</v>
      </c>
      <c r="G172" s="10" t="s">
        <v>17</v>
      </c>
    </row>
    <row r="173" spans="1:7" x14ac:dyDescent="0.25">
      <c r="A173" s="6" t="s">
        <v>43</v>
      </c>
      <c r="B173" s="7" t="s">
        <v>280</v>
      </c>
      <c r="C173" s="8">
        <v>76760.56</v>
      </c>
      <c r="D173" s="8">
        <v>1167</v>
      </c>
      <c r="E173" s="9">
        <v>1.5203119935550201E-2</v>
      </c>
      <c r="F173" s="10" t="s">
        <v>17</v>
      </c>
      <c r="G173" s="10" t="s">
        <v>17</v>
      </c>
    </row>
    <row r="174" spans="1:7" x14ac:dyDescent="0.25">
      <c r="A174" s="6" t="s">
        <v>44</v>
      </c>
      <c r="B174" s="7" t="s">
        <v>284</v>
      </c>
      <c r="C174" s="8">
        <v>58907.43</v>
      </c>
      <c r="D174" s="8">
        <v>11230.33</v>
      </c>
      <c r="E174" s="9">
        <v>0.190643692994245</v>
      </c>
      <c r="F174" s="10" t="s">
        <v>17</v>
      </c>
      <c r="G174" s="10" t="s">
        <v>17</v>
      </c>
    </row>
    <row r="175" spans="1:7" x14ac:dyDescent="0.25">
      <c r="A175" s="6" t="s">
        <v>45</v>
      </c>
      <c r="B175" s="7" t="s">
        <v>175</v>
      </c>
      <c r="C175" s="8">
        <v>57342.77</v>
      </c>
      <c r="D175" s="8">
        <v>57342.77</v>
      </c>
      <c r="E175" s="9">
        <v>1</v>
      </c>
      <c r="F175" s="10" t="s">
        <v>17</v>
      </c>
      <c r="G175" s="10" t="s">
        <v>17</v>
      </c>
    </row>
    <row r="176" spans="1:7" x14ac:dyDescent="0.25">
      <c r="A176" s="6" t="s">
        <v>46</v>
      </c>
      <c r="B176" s="7" t="s">
        <v>227</v>
      </c>
      <c r="C176" s="8">
        <v>50059.42</v>
      </c>
      <c r="D176" s="8">
        <v>50059.42</v>
      </c>
      <c r="E176" s="9">
        <v>1</v>
      </c>
      <c r="F176" s="10" t="s">
        <v>17</v>
      </c>
      <c r="G176" s="10" t="s">
        <v>17</v>
      </c>
    </row>
    <row r="177" spans="1:7" x14ac:dyDescent="0.25">
      <c r="A177" s="6" t="s">
        <v>47</v>
      </c>
      <c r="B177" s="7" t="s">
        <v>248</v>
      </c>
      <c r="C177" s="8">
        <v>37314.75</v>
      </c>
      <c r="D177" s="8">
        <v>37314.75</v>
      </c>
      <c r="E177" s="9">
        <v>1</v>
      </c>
      <c r="F177" s="10" t="s">
        <v>17</v>
      </c>
      <c r="G177" s="10" t="s">
        <v>17</v>
      </c>
    </row>
    <row r="178" spans="1:7" x14ac:dyDescent="0.25">
      <c r="A178" s="6" t="s">
        <v>48</v>
      </c>
      <c r="B178" s="7" t="s">
        <v>261</v>
      </c>
      <c r="C178" s="8">
        <v>35610.19</v>
      </c>
      <c r="D178" s="8">
        <v>9833.81</v>
      </c>
      <c r="E178" s="9">
        <v>0.276151573468156</v>
      </c>
      <c r="F178" s="10" t="s">
        <v>17</v>
      </c>
      <c r="G178" s="10" t="s">
        <v>17</v>
      </c>
    </row>
    <row r="179" spans="1:7" x14ac:dyDescent="0.25">
      <c r="A179" s="6" t="s">
        <v>49</v>
      </c>
      <c r="B179" s="7" t="s">
        <v>190</v>
      </c>
      <c r="C179" s="8">
        <v>33618.79</v>
      </c>
      <c r="D179" s="8">
        <v>33618.79</v>
      </c>
      <c r="E179" s="9">
        <v>1</v>
      </c>
      <c r="F179" s="10" t="s">
        <v>17</v>
      </c>
      <c r="G179" s="10" t="s">
        <v>17</v>
      </c>
    </row>
    <row r="180" spans="1:7" x14ac:dyDescent="0.25">
      <c r="A180" s="6" t="s">
        <v>50</v>
      </c>
      <c r="B180" s="7" t="s">
        <v>220</v>
      </c>
      <c r="C180" s="8">
        <v>20872.25</v>
      </c>
      <c r="D180" s="8">
        <v>20872.25</v>
      </c>
      <c r="E180" s="9">
        <v>1</v>
      </c>
      <c r="F180" s="10" t="s">
        <v>17</v>
      </c>
      <c r="G180" s="10" t="s">
        <v>17</v>
      </c>
    </row>
    <row r="181" spans="1:7" x14ac:dyDescent="0.25">
      <c r="A181" s="6" t="s">
        <v>51</v>
      </c>
      <c r="B181" s="7" t="s">
        <v>285</v>
      </c>
      <c r="C181" s="8">
        <v>20002.439999999999</v>
      </c>
      <c r="D181" s="8">
        <v>20002.439999999999</v>
      </c>
      <c r="E181" s="9">
        <v>1</v>
      </c>
      <c r="F181" s="10" t="s">
        <v>17</v>
      </c>
      <c r="G181" s="10" t="s">
        <v>17</v>
      </c>
    </row>
    <row r="182" spans="1:7" x14ac:dyDescent="0.25">
      <c r="A182" s="6" t="s">
        <v>52</v>
      </c>
      <c r="B182" s="7" t="s">
        <v>287</v>
      </c>
      <c r="C182" s="8">
        <v>11637.59</v>
      </c>
      <c r="D182" s="8">
        <v>285.43</v>
      </c>
      <c r="E182" s="9">
        <v>2.45265557559598E-2</v>
      </c>
      <c r="F182" s="10" t="s">
        <v>17</v>
      </c>
      <c r="G182" s="10" t="s">
        <v>17</v>
      </c>
    </row>
    <row r="183" spans="1:7" x14ac:dyDescent="0.25">
      <c r="A183" s="6" t="s">
        <v>53</v>
      </c>
      <c r="B183" s="7" t="s">
        <v>238</v>
      </c>
      <c r="C183" s="8">
        <v>6200.58</v>
      </c>
      <c r="D183" s="8">
        <v>66.16</v>
      </c>
      <c r="E183" s="9">
        <v>1.0669969583490599E-2</v>
      </c>
      <c r="F183" s="10" t="s">
        <v>17</v>
      </c>
      <c r="G183" s="10" t="s">
        <v>17</v>
      </c>
    </row>
    <row r="184" spans="1:7" x14ac:dyDescent="0.25">
      <c r="A184" s="6" t="s">
        <v>54</v>
      </c>
      <c r="B184" s="7" t="s">
        <v>261</v>
      </c>
      <c r="C184" s="8">
        <v>5505.76</v>
      </c>
      <c r="D184" s="8">
        <v>5505.76</v>
      </c>
      <c r="E184" s="9">
        <v>1</v>
      </c>
      <c r="F184" s="10" t="s">
        <v>17</v>
      </c>
      <c r="G184" s="10" t="s">
        <v>17</v>
      </c>
    </row>
    <row r="185" spans="1:7" x14ac:dyDescent="0.25">
      <c r="A185" s="6" t="s">
        <v>55</v>
      </c>
      <c r="B185" s="7" t="s">
        <v>288</v>
      </c>
      <c r="C185" s="8">
        <v>4954.3500000000004</v>
      </c>
      <c r="D185" s="8">
        <v>948.17</v>
      </c>
      <c r="E185" s="9">
        <v>0.19138131137283401</v>
      </c>
      <c r="F185" s="10" t="s">
        <v>17</v>
      </c>
      <c r="G185" s="10" t="s">
        <v>17</v>
      </c>
    </row>
    <row r="186" spans="1:7" x14ac:dyDescent="0.25">
      <c r="A186" s="6" t="s">
        <v>56</v>
      </c>
      <c r="B186" s="7" t="s">
        <v>326</v>
      </c>
      <c r="C186" s="8">
        <v>2496.69</v>
      </c>
      <c r="D186" s="8">
        <v>2496.69</v>
      </c>
      <c r="E186" s="9">
        <v>1</v>
      </c>
      <c r="F186" s="10" t="s">
        <v>17</v>
      </c>
      <c r="G186" s="10" t="s">
        <v>17</v>
      </c>
    </row>
    <row r="187" spans="1:7" x14ac:dyDescent="0.25">
      <c r="A187" s="6" t="s">
        <v>57</v>
      </c>
      <c r="B187" s="7" t="s">
        <v>305</v>
      </c>
      <c r="C187" s="8">
        <v>1758.53</v>
      </c>
      <c r="D187" s="8">
        <v>1758.53</v>
      </c>
      <c r="E187" s="9">
        <v>1</v>
      </c>
      <c r="F187" s="10" t="s">
        <v>17</v>
      </c>
      <c r="G187" s="10" t="s">
        <v>17</v>
      </c>
    </row>
    <row r="188" spans="1:7" x14ac:dyDescent="0.25">
      <c r="A188" s="6" t="s">
        <v>58</v>
      </c>
      <c r="B188" s="7" t="s">
        <v>202</v>
      </c>
      <c r="C188" s="8">
        <v>1566.35</v>
      </c>
      <c r="D188" s="8">
        <v>19.43</v>
      </c>
      <c r="E188" s="9">
        <v>1.24046349794107E-2</v>
      </c>
      <c r="F188" s="10" t="s">
        <v>17</v>
      </c>
      <c r="G188" s="10" t="s">
        <v>17</v>
      </c>
    </row>
    <row r="189" spans="1:7" x14ac:dyDescent="0.25">
      <c r="A189" s="6" t="s">
        <v>59</v>
      </c>
      <c r="B189" s="7" t="s">
        <v>289</v>
      </c>
      <c r="C189" s="8">
        <v>1275.43</v>
      </c>
      <c r="D189" s="8">
        <v>54.98</v>
      </c>
      <c r="E189" s="9">
        <v>4.3107030570082201E-2</v>
      </c>
      <c r="F189" s="10" t="s">
        <v>17</v>
      </c>
      <c r="G189" s="10" t="s">
        <v>17</v>
      </c>
    </row>
    <row r="190" spans="1:7" x14ac:dyDescent="0.25">
      <c r="A190" s="6" t="s">
        <v>60</v>
      </c>
      <c r="B190" s="7" t="s">
        <v>327</v>
      </c>
      <c r="C190" s="8">
        <v>1150.42</v>
      </c>
      <c r="D190" s="8">
        <v>1150.42</v>
      </c>
      <c r="E190" s="9">
        <v>1</v>
      </c>
      <c r="F190" s="10" t="s">
        <v>17</v>
      </c>
      <c r="G190" s="10" t="s">
        <v>17</v>
      </c>
    </row>
    <row r="191" spans="1:7" x14ac:dyDescent="0.25">
      <c r="A191" s="6" t="s">
        <v>61</v>
      </c>
      <c r="B191" s="7" t="s">
        <v>314</v>
      </c>
      <c r="C191" s="8">
        <v>1000.42</v>
      </c>
      <c r="D191" s="8">
        <v>1000.42</v>
      </c>
      <c r="E191" s="9">
        <v>1</v>
      </c>
      <c r="F191" s="10" t="s">
        <v>17</v>
      </c>
      <c r="G191" s="10" t="s">
        <v>17</v>
      </c>
    </row>
    <row r="192" spans="1:7" x14ac:dyDescent="0.25">
      <c r="A192" s="6" t="s">
        <v>62</v>
      </c>
      <c r="B192" s="7" t="s">
        <v>295</v>
      </c>
      <c r="C192" s="8">
        <v>901.87</v>
      </c>
      <c r="D192" s="8">
        <v>901.87</v>
      </c>
      <c r="E192" s="9">
        <v>1</v>
      </c>
      <c r="F192" s="10" t="s">
        <v>17</v>
      </c>
      <c r="G192" s="10" t="s">
        <v>17</v>
      </c>
    </row>
    <row r="193" spans="1:7" x14ac:dyDescent="0.25">
      <c r="A193" s="6" t="s">
        <v>63</v>
      </c>
      <c r="B193" s="7" t="s">
        <v>290</v>
      </c>
      <c r="C193" s="8">
        <v>643.11</v>
      </c>
      <c r="D193" s="8">
        <v>89.51</v>
      </c>
      <c r="E193" s="9">
        <v>0.13918303245168001</v>
      </c>
      <c r="F193" s="10" t="s">
        <v>17</v>
      </c>
      <c r="G193" s="10" t="s">
        <v>17</v>
      </c>
    </row>
    <row r="194" spans="1:7" x14ac:dyDescent="0.25">
      <c r="A194" s="6" t="s">
        <v>64</v>
      </c>
      <c r="B194" s="7" t="s">
        <v>204</v>
      </c>
      <c r="C194" s="8">
        <v>21.6</v>
      </c>
      <c r="D194" s="8">
        <v>21.6</v>
      </c>
      <c r="E194" s="9">
        <v>1</v>
      </c>
      <c r="F194" s="10" t="s">
        <v>17</v>
      </c>
      <c r="G194" s="10" t="s">
        <v>17</v>
      </c>
    </row>
    <row r="195" spans="1:7" x14ac:dyDescent="0.25">
      <c r="A195" s="6" t="s">
        <v>65</v>
      </c>
      <c r="B195" s="7" t="s">
        <v>271</v>
      </c>
      <c r="C195" s="8">
        <v>20.07</v>
      </c>
      <c r="D195" s="8">
        <v>20.07</v>
      </c>
      <c r="E195" s="9">
        <v>1</v>
      </c>
      <c r="F195" s="10" t="s">
        <v>17</v>
      </c>
      <c r="G195" s="10" t="s">
        <v>17</v>
      </c>
    </row>
    <row r="196" spans="1:7" x14ac:dyDescent="0.25">
      <c r="A196" s="6" t="s">
        <v>66</v>
      </c>
      <c r="B196" s="7" t="s">
        <v>297</v>
      </c>
      <c r="C196" s="8">
        <v>6.87</v>
      </c>
      <c r="D196" s="8">
        <v>6.87</v>
      </c>
      <c r="E196" s="9">
        <v>1</v>
      </c>
      <c r="F196" s="10" t="s">
        <v>17</v>
      </c>
      <c r="G196" s="10" t="s">
        <v>17</v>
      </c>
    </row>
    <row r="197" spans="1:7" x14ac:dyDescent="0.25">
      <c r="A197" s="6" t="s">
        <v>67</v>
      </c>
      <c r="B197" s="7" t="s">
        <v>296</v>
      </c>
      <c r="C197" s="8">
        <v>3.17</v>
      </c>
      <c r="D197" s="8">
        <v>3.17</v>
      </c>
      <c r="E197" s="9">
        <v>1</v>
      </c>
      <c r="F197" s="10" t="s">
        <v>17</v>
      </c>
      <c r="G197" s="10" t="s">
        <v>17</v>
      </c>
    </row>
    <row r="198" spans="1:7" x14ac:dyDescent="0.25">
      <c r="A198" s="6" t="s">
        <v>68</v>
      </c>
      <c r="B198" s="7" t="s">
        <v>281</v>
      </c>
      <c r="C198" s="8">
        <v>0.33</v>
      </c>
      <c r="D198" s="8">
        <v>0.33</v>
      </c>
      <c r="E198" s="9">
        <v>1</v>
      </c>
      <c r="F198" s="10" t="s">
        <v>17</v>
      </c>
      <c r="G198" s="10" t="s">
        <v>17</v>
      </c>
    </row>
    <row r="199" spans="1:7" x14ac:dyDescent="0.25">
      <c r="A199" s="6" t="s">
        <v>69</v>
      </c>
      <c r="B199" s="7" t="s">
        <v>164</v>
      </c>
      <c r="C199" s="8">
        <v>0.03</v>
      </c>
      <c r="D199" s="8">
        <v>0.03</v>
      </c>
      <c r="E199" s="9">
        <v>1</v>
      </c>
      <c r="F199" s="10" t="s">
        <v>17</v>
      </c>
      <c r="G199" s="10" t="s">
        <v>17</v>
      </c>
    </row>
    <row r="200" spans="1:7" x14ac:dyDescent="0.25">
      <c r="A200" s="6" t="s">
        <v>70</v>
      </c>
      <c r="B200" s="7" t="s">
        <v>230</v>
      </c>
      <c r="C200" s="8">
        <v>0.01</v>
      </c>
      <c r="D200" s="8">
        <v>0.01</v>
      </c>
      <c r="E200" s="9">
        <v>1</v>
      </c>
      <c r="F200" s="10" t="s">
        <v>17</v>
      </c>
      <c r="G200" s="10" t="s">
        <v>17</v>
      </c>
    </row>
    <row r="201" spans="1:7" x14ac:dyDescent="0.25">
      <c r="A201" s="6" t="s">
        <v>71</v>
      </c>
      <c r="B201" s="7" t="s">
        <v>208</v>
      </c>
      <c r="C201" s="8">
        <v>0.01</v>
      </c>
      <c r="D201" s="8">
        <v>0.01</v>
      </c>
      <c r="E201" s="9">
        <v>1</v>
      </c>
      <c r="F201" s="10" t="s">
        <v>17</v>
      </c>
      <c r="G201" s="10" t="s">
        <v>17</v>
      </c>
    </row>
    <row r="202" spans="1:7" x14ac:dyDescent="0.25">
      <c r="A202" s="6" t="s">
        <v>72</v>
      </c>
      <c r="B202" s="7" t="s">
        <v>286</v>
      </c>
      <c r="C202" s="8">
        <v>0</v>
      </c>
      <c r="D202" s="8">
        <v>0</v>
      </c>
      <c r="E202" s="9">
        <v>0</v>
      </c>
      <c r="F202" s="10" t="s">
        <v>17</v>
      </c>
      <c r="G202" s="10" t="s">
        <v>17</v>
      </c>
    </row>
    <row r="203" spans="1:7" x14ac:dyDescent="0.25">
      <c r="A203" s="6" t="s">
        <v>73</v>
      </c>
      <c r="B203" s="7" t="s">
        <v>210</v>
      </c>
      <c r="C203" s="8">
        <v>0</v>
      </c>
      <c r="D203" s="8">
        <v>0</v>
      </c>
      <c r="E203" s="9">
        <v>0</v>
      </c>
      <c r="F203" s="10" t="s">
        <v>17</v>
      </c>
      <c r="G203" s="10" t="s">
        <v>17</v>
      </c>
    </row>
    <row r="204" spans="1:7" x14ac:dyDescent="0.25">
      <c r="A204" s="6" t="s">
        <v>74</v>
      </c>
      <c r="B204" s="7" t="s">
        <v>219</v>
      </c>
      <c r="C204" s="8">
        <v>0</v>
      </c>
      <c r="D204" s="8">
        <v>0</v>
      </c>
      <c r="E204" s="9">
        <v>0</v>
      </c>
      <c r="F204" s="10" t="s">
        <v>17</v>
      </c>
      <c r="G204" s="10" t="s">
        <v>17</v>
      </c>
    </row>
    <row r="205" spans="1:7" x14ac:dyDescent="0.25">
      <c r="A205" s="6" t="s">
        <v>75</v>
      </c>
      <c r="B205" s="7" t="s">
        <v>262</v>
      </c>
      <c r="C205" s="8">
        <v>0</v>
      </c>
      <c r="D205" s="8">
        <v>0</v>
      </c>
      <c r="E205" s="9">
        <v>0</v>
      </c>
      <c r="F205" s="10" t="s">
        <v>17</v>
      </c>
      <c r="G205" s="10" t="s">
        <v>17</v>
      </c>
    </row>
    <row r="206" spans="1:7" x14ac:dyDescent="0.25">
      <c r="A206" s="6" t="s">
        <v>76</v>
      </c>
      <c r="B206" s="7" t="s">
        <v>282</v>
      </c>
      <c r="C206" s="8">
        <v>0</v>
      </c>
      <c r="D206" s="8">
        <v>0</v>
      </c>
      <c r="E206" s="9">
        <v>0</v>
      </c>
      <c r="F206" s="10" t="s">
        <v>17</v>
      </c>
      <c r="G206" s="10" t="s">
        <v>17</v>
      </c>
    </row>
    <row r="207" spans="1:7" x14ac:dyDescent="0.25">
      <c r="A207" s="6" t="s">
        <v>77</v>
      </c>
      <c r="B207" s="7" t="s">
        <v>229</v>
      </c>
      <c r="C207" s="8">
        <v>0</v>
      </c>
      <c r="D207" s="8">
        <v>0</v>
      </c>
      <c r="E207" s="9">
        <v>0</v>
      </c>
      <c r="F207" s="10" t="s">
        <v>17</v>
      </c>
      <c r="G207" s="10" t="s">
        <v>17</v>
      </c>
    </row>
    <row r="208" spans="1:7" x14ac:dyDescent="0.25">
      <c r="A208" s="6" t="s">
        <v>78</v>
      </c>
      <c r="B208" s="7" t="s">
        <v>221</v>
      </c>
      <c r="C208" s="8">
        <v>0</v>
      </c>
      <c r="D208" s="8">
        <v>0</v>
      </c>
      <c r="E208" s="9">
        <v>0</v>
      </c>
      <c r="F208" s="10" t="s">
        <v>17</v>
      </c>
      <c r="G208" s="10" t="s">
        <v>17</v>
      </c>
    </row>
    <row r="209" spans="2:5" x14ac:dyDescent="0.25">
      <c r="C209" s="8"/>
      <c r="D209" s="8"/>
      <c r="E209" s="9"/>
    </row>
    <row r="214" spans="2:5" x14ac:dyDescent="0.25">
      <c r="B214" s="20" t="s">
        <v>273</v>
      </c>
      <c r="C214" s="21">
        <f>SUM(C2:C146)</f>
        <v>91780776.384600028</v>
      </c>
      <c r="D214" s="21">
        <f>SUM(D2:D146)</f>
        <v>26431393.069999993</v>
      </c>
      <c r="E214" s="22">
        <f>(D214 / C214)</f>
        <v>0.28798397781297191</v>
      </c>
    </row>
    <row r="218" spans="2:5" x14ac:dyDescent="0.25">
      <c r="B218" s="20" t="s">
        <v>272</v>
      </c>
      <c r="C218" s="21">
        <f>SUM(C147:C212)</f>
        <v>11496863.971399996</v>
      </c>
      <c r="D218" s="21">
        <f>SUM(D147:D212)</f>
        <v>7348322.4100000011</v>
      </c>
      <c r="E218" s="22">
        <f>(D218 / C218)</f>
        <v>0.63915885482162327</v>
      </c>
    </row>
    <row r="222" spans="2:5" x14ac:dyDescent="0.25">
      <c r="B222" s="20" t="s">
        <v>274</v>
      </c>
      <c r="C222" s="21">
        <f>SUM(C2:C218) / 2</f>
        <v>103277640.35600002</v>
      </c>
      <c r="D222" s="21">
        <f>SUM(D2:D218) / 2</f>
        <v>33779715.479999989</v>
      </c>
      <c r="E222" s="22">
        <f>(D222 / C222)</f>
        <v>0.32707675508038969</v>
      </c>
    </row>
  </sheetData>
  <pageMargins left="0.7" right="0.7" top="0.75" bottom="0.75" header="0.3" footer="0.3"/>
  <pageSetup orientation="landscape" r:id="rId1"/>
  <headerFooter>
    <oddHeader>&amp;R&amp;B&amp;12As of &amp;D&amp;C&amp;B&amp;12Sunset West Daily Cash Percentage Report</oddHeader>
    <oddFooter>&amp;C&amp;B&amp;12&amp;P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4D3A-418D-4B7B-A03A-9737EC15C35D}">
  <dimension ref="A1:G222"/>
  <sheetViews>
    <sheetView workbookViewId="0">
      <selection sqref="A1:XFD1048576"/>
    </sheetView>
  </sheetViews>
  <sheetFormatPr defaultRowHeight="15.75" x14ac:dyDescent="0.25"/>
  <cols>
    <col min="1" max="1" width="5" style="10" bestFit="1" customWidth="1"/>
    <col min="2" max="2" width="26.28515625" style="7" customWidth="1"/>
    <col min="3" max="3" width="15.140625" style="10" customWidth="1"/>
    <col min="4" max="4" width="14" style="10" customWidth="1"/>
    <col min="5" max="5" width="9.140625" style="10"/>
    <col min="6" max="6" width="9.7109375" style="10" customWidth="1"/>
    <col min="7" max="7" width="10.42578125" style="10" customWidth="1"/>
    <col min="8" max="16384" width="9.140625" style="1"/>
  </cols>
  <sheetData>
    <row r="1" spans="1:7" ht="31.5" x14ac:dyDescent="0.25">
      <c r="A1" s="18"/>
      <c r="B1" s="2" t="s">
        <v>157</v>
      </c>
      <c r="C1" s="3" t="s">
        <v>158</v>
      </c>
      <c r="D1" s="3" t="s">
        <v>159</v>
      </c>
      <c r="E1" s="4" t="s">
        <v>160</v>
      </c>
      <c r="F1" s="5" t="s">
        <v>161</v>
      </c>
      <c r="G1" s="5" t="s">
        <v>162</v>
      </c>
    </row>
    <row r="2" spans="1:7" x14ac:dyDescent="0.25">
      <c r="A2" s="6" t="s">
        <v>18</v>
      </c>
      <c r="B2" s="7" t="s">
        <v>163</v>
      </c>
      <c r="C2" s="8">
        <v>5024349.9000000004</v>
      </c>
      <c r="D2" s="8">
        <v>1020465.47</v>
      </c>
      <c r="E2" s="9">
        <v>0.20310398167134</v>
      </c>
      <c r="F2" s="10" t="s">
        <v>0</v>
      </c>
      <c r="G2" s="11">
        <f>(D2 / F2)</f>
        <v>75.590034814814814</v>
      </c>
    </row>
    <row r="3" spans="1:7" x14ac:dyDescent="0.25">
      <c r="A3" s="6" t="s">
        <v>19</v>
      </c>
      <c r="B3" s="7" t="s">
        <v>297</v>
      </c>
      <c r="C3" s="8">
        <v>4925090.09</v>
      </c>
      <c r="D3" s="8">
        <v>4925090.09</v>
      </c>
      <c r="E3" s="9">
        <v>1</v>
      </c>
      <c r="F3" s="10" t="s">
        <v>17</v>
      </c>
      <c r="G3" s="10" t="s">
        <v>17</v>
      </c>
    </row>
    <row r="4" spans="1:7" x14ac:dyDescent="0.25">
      <c r="A4" s="6" t="s">
        <v>20</v>
      </c>
      <c r="B4" s="7" t="s">
        <v>168</v>
      </c>
      <c r="C4" s="8">
        <v>4278907.63</v>
      </c>
      <c r="D4" s="8">
        <v>1372810.33</v>
      </c>
      <c r="E4" s="9">
        <v>0.32083196196502101</v>
      </c>
      <c r="F4" s="10" t="s">
        <v>17</v>
      </c>
      <c r="G4" s="10" t="s">
        <v>17</v>
      </c>
    </row>
    <row r="5" spans="1:7" x14ac:dyDescent="0.25">
      <c r="A5" s="6" t="s">
        <v>21</v>
      </c>
      <c r="B5" s="7" t="s">
        <v>165</v>
      </c>
      <c r="C5" s="8">
        <v>3329651.2133999998</v>
      </c>
      <c r="D5" s="8">
        <v>697382.28</v>
      </c>
      <c r="E5" s="9">
        <v>0.20944604563788</v>
      </c>
      <c r="F5" s="10" t="s">
        <v>17</v>
      </c>
      <c r="G5" s="10" t="s">
        <v>17</v>
      </c>
    </row>
    <row r="6" spans="1:7" x14ac:dyDescent="0.25">
      <c r="A6" s="6" t="s">
        <v>22</v>
      </c>
      <c r="B6" s="7" t="s">
        <v>166</v>
      </c>
      <c r="C6" s="8">
        <v>2948026.18</v>
      </c>
      <c r="D6" s="8">
        <v>504958.59</v>
      </c>
      <c r="E6" s="9">
        <v>0.17128701007668801</v>
      </c>
      <c r="F6" s="10" t="s">
        <v>17</v>
      </c>
      <c r="G6" s="10" t="s">
        <v>17</v>
      </c>
    </row>
    <row r="7" spans="1:7" x14ac:dyDescent="0.25">
      <c r="A7" s="6" t="s">
        <v>23</v>
      </c>
      <c r="B7" s="7" t="s">
        <v>164</v>
      </c>
      <c r="C7" s="8">
        <v>2944535.14</v>
      </c>
      <c r="D7" s="8">
        <v>557662.92000000004</v>
      </c>
      <c r="E7" s="9">
        <v>0.18938912034855199</v>
      </c>
      <c r="F7" s="10" t="s">
        <v>1</v>
      </c>
      <c r="G7" s="11">
        <f>(D7 / F7)</f>
        <v>60.418517876489709</v>
      </c>
    </row>
    <row r="8" spans="1:7" x14ac:dyDescent="0.25">
      <c r="A8" s="6" t="s">
        <v>24</v>
      </c>
      <c r="B8" s="7" t="s">
        <v>167</v>
      </c>
      <c r="C8" s="8">
        <v>2577896.4700000002</v>
      </c>
      <c r="D8" s="8">
        <v>1100816.97</v>
      </c>
      <c r="E8" s="9">
        <v>0.427021404005414</v>
      </c>
      <c r="F8" s="10" t="s">
        <v>2</v>
      </c>
      <c r="G8" s="11">
        <f>(D8 / F8)</f>
        <v>428.66704439252334</v>
      </c>
    </row>
    <row r="9" spans="1:7" x14ac:dyDescent="0.25">
      <c r="A9" s="12" t="s">
        <v>25</v>
      </c>
      <c r="B9" s="13" t="s">
        <v>169</v>
      </c>
      <c r="C9" s="14">
        <v>2276021.2000000002</v>
      </c>
      <c r="D9" s="14">
        <v>341555.93</v>
      </c>
      <c r="E9" s="15">
        <v>0.150067112731639</v>
      </c>
      <c r="F9" s="16" t="s">
        <v>293</v>
      </c>
      <c r="G9" s="17">
        <f>(D9 / F9)</f>
        <v>35.953255789473687</v>
      </c>
    </row>
    <row r="10" spans="1:7" x14ac:dyDescent="0.25">
      <c r="A10" s="6" t="s">
        <v>26</v>
      </c>
      <c r="B10" s="7" t="s">
        <v>170</v>
      </c>
      <c r="C10" s="8">
        <v>2114663.9</v>
      </c>
      <c r="D10" s="8">
        <v>299097.36</v>
      </c>
      <c r="E10" s="9">
        <v>0.141439668024786</v>
      </c>
      <c r="F10" s="10" t="s">
        <v>3</v>
      </c>
      <c r="G10" s="11">
        <f>(D10 / F10)</f>
        <v>37.387169999999998</v>
      </c>
    </row>
    <row r="11" spans="1:7" x14ac:dyDescent="0.25">
      <c r="A11" s="6" t="s">
        <v>27</v>
      </c>
      <c r="B11" s="7" t="s">
        <v>171</v>
      </c>
      <c r="C11" s="8">
        <v>2001170.43</v>
      </c>
      <c r="D11" s="8">
        <v>312143.53999999998</v>
      </c>
      <c r="E11" s="9">
        <v>0.15598048787878599</v>
      </c>
      <c r="F11" s="10" t="s">
        <v>17</v>
      </c>
      <c r="G11" s="10" t="s">
        <v>17</v>
      </c>
    </row>
    <row r="12" spans="1:7" x14ac:dyDescent="0.25">
      <c r="A12" s="6" t="s">
        <v>28</v>
      </c>
      <c r="B12" s="7" t="s">
        <v>172</v>
      </c>
      <c r="C12" s="8">
        <v>1912434.38</v>
      </c>
      <c r="D12" s="8">
        <v>387296.49</v>
      </c>
      <c r="E12" s="9">
        <v>0.202514917139275</v>
      </c>
      <c r="F12" s="10" t="s">
        <v>17</v>
      </c>
      <c r="G12" s="10" t="s">
        <v>17</v>
      </c>
    </row>
    <row r="13" spans="1:7" x14ac:dyDescent="0.25">
      <c r="A13" s="6" t="s">
        <v>29</v>
      </c>
      <c r="B13" s="7" t="s">
        <v>316</v>
      </c>
      <c r="C13" s="8">
        <v>1888808.1514000001</v>
      </c>
      <c r="D13" s="8">
        <v>991186.21</v>
      </c>
      <c r="E13" s="9">
        <v>0.52476807094745204</v>
      </c>
      <c r="F13" s="10" t="s">
        <v>17</v>
      </c>
      <c r="G13" s="10" t="s">
        <v>17</v>
      </c>
    </row>
    <row r="14" spans="1:7" x14ac:dyDescent="0.25">
      <c r="A14" s="6" t="s">
        <v>30</v>
      </c>
      <c r="B14" s="7" t="s">
        <v>173</v>
      </c>
      <c r="C14" s="8">
        <v>1833216.94</v>
      </c>
      <c r="D14" s="8">
        <v>333346.64</v>
      </c>
      <c r="E14" s="9">
        <v>0.181836984334216</v>
      </c>
      <c r="F14" s="10" t="s">
        <v>4</v>
      </c>
      <c r="G14" s="11">
        <f>(D14 / F14)</f>
        <v>55.557773333333337</v>
      </c>
    </row>
    <row r="15" spans="1:7" x14ac:dyDescent="0.25">
      <c r="A15" s="6" t="s">
        <v>31</v>
      </c>
      <c r="B15" s="7" t="s">
        <v>299</v>
      </c>
      <c r="C15" s="8">
        <v>1722467.26</v>
      </c>
      <c r="D15" s="8">
        <v>1155665.72</v>
      </c>
      <c r="E15" s="9">
        <v>0.67093624757779102</v>
      </c>
      <c r="F15" s="10" t="s">
        <v>17</v>
      </c>
      <c r="G15" s="10" t="s">
        <v>17</v>
      </c>
    </row>
    <row r="16" spans="1:7" x14ac:dyDescent="0.25">
      <c r="A16" s="6" t="s">
        <v>32</v>
      </c>
      <c r="B16" s="7" t="s">
        <v>175</v>
      </c>
      <c r="C16" s="8">
        <v>1343544.52</v>
      </c>
      <c r="D16" s="8">
        <v>275338.40000000002</v>
      </c>
      <c r="E16" s="9">
        <v>0.20493433295385</v>
      </c>
      <c r="F16" s="10" t="s">
        <v>17</v>
      </c>
      <c r="G16" s="10" t="s">
        <v>17</v>
      </c>
    </row>
    <row r="17" spans="1:7" x14ac:dyDescent="0.25">
      <c r="A17" s="6" t="s">
        <v>33</v>
      </c>
      <c r="B17" s="7" t="s">
        <v>296</v>
      </c>
      <c r="C17" s="8">
        <v>1241000.68</v>
      </c>
      <c r="D17" s="8">
        <v>127456.41</v>
      </c>
      <c r="E17" s="9">
        <v>0.10270454485166</v>
      </c>
      <c r="F17" s="10" t="s">
        <v>17</v>
      </c>
      <c r="G17" s="10" t="s">
        <v>17</v>
      </c>
    </row>
    <row r="18" spans="1:7" x14ac:dyDescent="0.25">
      <c r="A18" s="6" t="s">
        <v>34</v>
      </c>
      <c r="B18" s="7" t="s">
        <v>176</v>
      </c>
      <c r="C18" s="8">
        <v>1236532.71</v>
      </c>
      <c r="D18" s="8">
        <v>304184.61</v>
      </c>
      <c r="E18" s="9">
        <v>0.24599802944153401</v>
      </c>
      <c r="F18" s="10" t="s">
        <v>17</v>
      </c>
      <c r="G18" s="10" t="s">
        <v>17</v>
      </c>
    </row>
    <row r="19" spans="1:7" x14ac:dyDescent="0.25">
      <c r="A19" s="6" t="s">
        <v>35</v>
      </c>
      <c r="B19" s="7" t="s">
        <v>177</v>
      </c>
      <c r="C19" s="8">
        <v>1234860.25</v>
      </c>
      <c r="D19" s="8">
        <v>266890.65999999997</v>
      </c>
      <c r="E19" s="9">
        <v>0.21613025441542899</v>
      </c>
      <c r="F19" s="10" t="s">
        <v>5</v>
      </c>
      <c r="G19" s="11">
        <f>(D19 / F19)</f>
        <v>118.61807111111111</v>
      </c>
    </row>
    <row r="20" spans="1:7" x14ac:dyDescent="0.25">
      <c r="A20" s="6" t="s">
        <v>36</v>
      </c>
      <c r="B20" s="7" t="s">
        <v>178</v>
      </c>
      <c r="C20" s="8">
        <v>1232916.1599999999</v>
      </c>
      <c r="D20" s="8">
        <v>265402.55</v>
      </c>
      <c r="E20" s="9">
        <v>0.21526406953738</v>
      </c>
      <c r="F20" s="10" t="s">
        <v>17</v>
      </c>
      <c r="G20" s="10" t="s">
        <v>17</v>
      </c>
    </row>
    <row r="21" spans="1:7" x14ac:dyDescent="0.25">
      <c r="A21" s="6" t="s">
        <v>37</v>
      </c>
      <c r="B21" s="7" t="s">
        <v>182</v>
      </c>
      <c r="C21" s="8">
        <v>1217111.8600000001</v>
      </c>
      <c r="D21" s="8">
        <v>38355.769999999997</v>
      </c>
      <c r="E21" s="9">
        <v>3.1513759137964503E-2</v>
      </c>
      <c r="F21" s="10" t="s">
        <v>17</v>
      </c>
      <c r="G21" s="10" t="s">
        <v>17</v>
      </c>
    </row>
    <row r="22" spans="1:7" x14ac:dyDescent="0.25">
      <c r="A22" s="6" t="s">
        <v>38</v>
      </c>
      <c r="B22" s="7" t="s">
        <v>180</v>
      </c>
      <c r="C22" s="8">
        <v>1136990.8899999999</v>
      </c>
      <c r="D22" s="8">
        <v>297542.63</v>
      </c>
      <c r="E22" s="9">
        <v>0.261693064224991</v>
      </c>
      <c r="F22" s="10" t="s">
        <v>17</v>
      </c>
      <c r="G22" s="10" t="s">
        <v>17</v>
      </c>
    </row>
    <row r="23" spans="1:7" x14ac:dyDescent="0.25">
      <c r="A23" s="6" t="s">
        <v>39</v>
      </c>
      <c r="B23" s="7" t="s">
        <v>184</v>
      </c>
      <c r="C23" s="8">
        <v>1136160.8700000001</v>
      </c>
      <c r="D23" s="8">
        <v>116129.58</v>
      </c>
      <c r="E23" s="9">
        <v>0.10221226858481799</v>
      </c>
      <c r="F23" s="10" t="s">
        <v>17</v>
      </c>
      <c r="G23" s="10" t="s">
        <v>17</v>
      </c>
    </row>
    <row r="24" spans="1:7" x14ac:dyDescent="0.25">
      <c r="A24" s="6" t="s">
        <v>40</v>
      </c>
      <c r="B24" s="7" t="s">
        <v>186</v>
      </c>
      <c r="C24" s="8">
        <v>1126954.69</v>
      </c>
      <c r="D24" s="8">
        <v>22379.75</v>
      </c>
      <c r="E24" s="9">
        <v>1.9858606737773999E-2</v>
      </c>
      <c r="F24" s="10" t="s">
        <v>17</v>
      </c>
      <c r="G24" s="10" t="s">
        <v>17</v>
      </c>
    </row>
    <row r="25" spans="1:7" x14ac:dyDescent="0.25">
      <c r="A25" s="6" t="s">
        <v>41</v>
      </c>
      <c r="B25" s="7" t="s">
        <v>189</v>
      </c>
      <c r="C25" s="8">
        <v>1126256.8500000001</v>
      </c>
      <c r="D25" s="8">
        <v>291872.75</v>
      </c>
      <c r="E25" s="9">
        <v>0.25915291880355701</v>
      </c>
      <c r="F25" s="10" t="s">
        <v>17</v>
      </c>
      <c r="G25" s="10" t="s">
        <v>17</v>
      </c>
    </row>
    <row r="26" spans="1:7" x14ac:dyDescent="0.25">
      <c r="A26" s="6" t="s">
        <v>42</v>
      </c>
      <c r="B26" s="7" t="s">
        <v>179</v>
      </c>
      <c r="C26" s="8">
        <v>1121281.6599999999</v>
      </c>
      <c r="D26" s="8">
        <v>247343.76</v>
      </c>
      <c r="E26" s="9">
        <v>0.22059021281058</v>
      </c>
      <c r="F26" s="10" t="s">
        <v>4</v>
      </c>
      <c r="G26" s="11">
        <f>(D26 / F26)</f>
        <v>41.223959999999998</v>
      </c>
    </row>
    <row r="27" spans="1:7" x14ac:dyDescent="0.25">
      <c r="A27" s="6" t="s">
        <v>43</v>
      </c>
      <c r="B27" s="7" t="s">
        <v>225</v>
      </c>
      <c r="C27" s="8">
        <v>1025137.42</v>
      </c>
      <c r="D27" s="8">
        <v>797004.76</v>
      </c>
      <c r="E27" s="9">
        <v>0.77746138659146802</v>
      </c>
      <c r="F27" s="10" t="s">
        <v>12</v>
      </c>
      <c r="G27" s="11">
        <f>(D27 / F27)</f>
        <v>177.1121688888889</v>
      </c>
    </row>
    <row r="28" spans="1:7" x14ac:dyDescent="0.25">
      <c r="A28" s="12" t="s">
        <v>44</v>
      </c>
      <c r="B28" s="13" t="s">
        <v>181</v>
      </c>
      <c r="C28" s="14">
        <v>1023066.0122</v>
      </c>
      <c r="D28" s="14">
        <v>226634.27</v>
      </c>
      <c r="E28" s="15">
        <v>0.22152458130501901</v>
      </c>
      <c r="F28" s="16" t="s">
        <v>6</v>
      </c>
      <c r="G28" s="17">
        <f>(D28 / F28)</f>
        <v>22.663426999999999</v>
      </c>
    </row>
    <row r="29" spans="1:7" x14ac:dyDescent="0.25">
      <c r="A29" s="6" t="s">
        <v>45</v>
      </c>
      <c r="B29" s="7" t="s">
        <v>206</v>
      </c>
      <c r="C29" s="8">
        <v>1009752.96</v>
      </c>
      <c r="D29" s="8">
        <v>416720.6</v>
      </c>
      <c r="E29" s="9">
        <v>0.412695596356558</v>
      </c>
      <c r="F29" s="10" t="s">
        <v>17</v>
      </c>
      <c r="G29" s="10" t="s">
        <v>17</v>
      </c>
    </row>
    <row r="30" spans="1:7" x14ac:dyDescent="0.25">
      <c r="A30" s="6" t="s">
        <v>46</v>
      </c>
      <c r="B30" s="7" t="s">
        <v>300</v>
      </c>
      <c r="C30" s="8">
        <v>998634.12</v>
      </c>
      <c r="D30" s="8">
        <v>234333.92</v>
      </c>
      <c r="E30" s="9">
        <v>0.23465442979256501</v>
      </c>
      <c r="F30" s="10" t="s">
        <v>17</v>
      </c>
      <c r="G30" s="10" t="s">
        <v>17</v>
      </c>
    </row>
    <row r="31" spans="1:7" x14ac:dyDescent="0.25">
      <c r="A31" s="6" t="s">
        <v>47</v>
      </c>
      <c r="B31" s="7" t="s">
        <v>187</v>
      </c>
      <c r="C31" s="8">
        <v>958621.26</v>
      </c>
      <c r="D31" s="8">
        <v>191449.8</v>
      </c>
      <c r="E31" s="9">
        <v>0.199713701321417</v>
      </c>
      <c r="F31" s="10" t="s">
        <v>17</v>
      </c>
      <c r="G31" s="10" t="s">
        <v>17</v>
      </c>
    </row>
    <row r="32" spans="1:7" x14ac:dyDescent="0.25">
      <c r="A32" s="6" t="s">
        <v>48</v>
      </c>
      <c r="B32" s="7" t="s">
        <v>188</v>
      </c>
      <c r="C32" s="8">
        <v>956549.62</v>
      </c>
      <c r="D32" s="8">
        <v>174238.03</v>
      </c>
      <c r="E32" s="9">
        <v>0.182152631036537</v>
      </c>
      <c r="F32" s="10" t="s">
        <v>17</v>
      </c>
      <c r="G32" s="10" t="s">
        <v>17</v>
      </c>
    </row>
    <row r="33" spans="1:7" x14ac:dyDescent="0.25">
      <c r="A33" s="6" t="s">
        <v>49</v>
      </c>
      <c r="B33" s="7" t="s">
        <v>174</v>
      </c>
      <c r="C33" s="8">
        <v>927181.37</v>
      </c>
      <c r="D33" s="8">
        <v>796759.26</v>
      </c>
      <c r="E33" s="9">
        <v>0.85933484621245104</v>
      </c>
      <c r="F33" s="10" t="s">
        <v>17</v>
      </c>
      <c r="G33" s="10" t="s">
        <v>17</v>
      </c>
    </row>
    <row r="34" spans="1:7" x14ac:dyDescent="0.25">
      <c r="A34" s="6" t="s">
        <v>50</v>
      </c>
      <c r="B34" s="7" t="s">
        <v>199</v>
      </c>
      <c r="C34" s="8">
        <v>925553.15</v>
      </c>
      <c r="D34" s="8">
        <v>300667.27</v>
      </c>
      <c r="E34" s="9">
        <v>0.32485143613848599</v>
      </c>
      <c r="F34" s="10" t="s">
        <v>12</v>
      </c>
      <c r="G34" s="11">
        <f>(D34 / F34)</f>
        <v>66.814948888888892</v>
      </c>
    </row>
    <row r="35" spans="1:7" x14ac:dyDescent="0.25">
      <c r="A35" s="6" t="s">
        <v>51</v>
      </c>
      <c r="B35" s="7" t="s">
        <v>185</v>
      </c>
      <c r="C35" s="8">
        <v>908526.27</v>
      </c>
      <c r="D35" s="8">
        <v>206036.94</v>
      </c>
      <c r="E35" s="9">
        <v>0.226781488662953</v>
      </c>
      <c r="F35" s="10" t="s">
        <v>7</v>
      </c>
      <c r="G35" s="11">
        <f>(D35 / F35)</f>
        <v>58.867697142857146</v>
      </c>
    </row>
    <row r="36" spans="1:7" x14ac:dyDescent="0.25">
      <c r="A36" s="6" t="s">
        <v>52</v>
      </c>
      <c r="B36" s="7" t="s">
        <v>190</v>
      </c>
      <c r="C36" s="8">
        <v>889461.2</v>
      </c>
      <c r="D36" s="8">
        <v>247921.19</v>
      </c>
      <c r="E36" s="9">
        <v>0.27873187723084503</v>
      </c>
      <c r="F36" s="10" t="s">
        <v>17</v>
      </c>
      <c r="G36" s="10" t="s">
        <v>17</v>
      </c>
    </row>
    <row r="37" spans="1:7" x14ac:dyDescent="0.25">
      <c r="A37" s="6" t="s">
        <v>53</v>
      </c>
      <c r="B37" s="7" t="s">
        <v>194</v>
      </c>
      <c r="C37" s="8">
        <v>855112.82</v>
      </c>
      <c r="D37" s="8">
        <v>161863.85999999999</v>
      </c>
      <c r="E37" s="9">
        <v>0.18928947878479899</v>
      </c>
      <c r="F37" s="10" t="s">
        <v>10</v>
      </c>
      <c r="G37" s="11">
        <f>(D37 / F37)</f>
        <v>323.72771999999998</v>
      </c>
    </row>
    <row r="38" spans="1:7" x14ac:dyDescent="0.25">
      <c r="A38" s="6" t="s">
        <v>54</v>
      </c>
      <c r="B38" s="7" t="s">
        <v>192</v>
      </c>
      <c r="C38" s="8">
        <v>842972.79</v>
      </c>
      <c r="D38" s="8">
        <v>179774.73</v>
      </c>
      <c r="E38" s="9">
        <v>0.213262791080125</v>
      </c>
      <c r="F38" s="10" t="s">
        <v>17</v>
      </c>
      <c r="G38" s="10" t="s">
        <v>17</v>
      </c>
    </row>
    <row r="39" spans="1:7" x14ac:dyDescent="0.25">
      <c r="A39" s="6" t="s">
        <v>55</v>
      </c>
      <c r="B39" s="7" t="s">
        <v>193</v>
      </c>
      <c r="C39" s="8">
        <v>820703.66</v>
      </c>
      <c r="D39" s="8">
        <v>153542.76999999999</v>
      </c>
      <c r="E39" s="9">
        <v>0.18708673725178701</v>
      </c>
      <c r="F39" s="10" t="s">
        <v>9</v>
      </c>
      <c r="G39" s="11">
        <f>(D39 / F39)</f>
        <v>60.212850980392155</v>
      </c>
    </row>
    <row r="40" spans="1:7" x14ac:dyDescent="0.25">
      <c r="A40" s="6" t="s">
        <v>56</v>
      </c>
      <c r="B40" s="7" t="s">
        <v>191</v>
      </c>
      <c r="C40" s="8">
        <v>808838.77</v>
      </c>
      <c r="D40" s="8">
        <v>171860.23</v>
      </c>
      <c r="E40" s="9">
        <v>0.212477735210442</v>
      </c>
      <c r="F40" s="10" t="s">
        <v>8</v>
      </c>
      <c r="G40" s="11">
        <f>(D40 / F40)</f>
        <v>63.651937037037044</v>
      </c>
    </row>
    <row r="41" spans="1:7" x14ac:dyDescent="0.25">
      <c r="A41" s="6" t="s">
        <v>57</v>
      </c>
      <c r="B41" s="7" t="s">
        <v>195</v>
      </c>
      <c r="C41" s="8">
        <v>805838.45</v>
      </c>
      <c r="D41" s="8">
        <v>193728.18</v>
      </c>
      <c r="E41" s="9">
        <v>0.24040572896465801</v>
      </c>
      <c r="F41" s="10" t="s">
        <v>17</v>
      </c>
      <c r="G41" s="10" t="s">
        <v>17</v>
      </c>
    </row>
    <row r="42" spans="1:7" x14ac:dyDescent="0.25">
      <c r="A42" s="6" t="s">
        <v>58</v>
      </c>
      <c r="B42" s="7" t="s">
        <v>301</v>
      </c>
      <c r="C42" s="8">
        <v>803445.37</v>
      </c>
      <c r="D42" s="8">
        <v>536827.22</v>
      </c>
      <c r="E42" s="9">
        <v>0.66815646719079402</v>
      </c>
      <c r="F42" s="10" t="s">
        <v>17</v>
      </c>
      <c r="G42" s="10" t="s">
        <v>17</v>
      </c>
    </row>
    <row r="43" spans="1:7" x14ac:dyDescent="0.25">
      <c r="A43" s="6" t="s">
        <v>59</v>
      </c>
      <c r="B43" s="7" t="s">
        <v>219</v>
      </c>
      <c r="C43" s="8">
        <v>792279.08</v>
      </c>
      <c r="D43" s="8">
        <v>287994.31</v>
      </c>
      <c r="E43" s="9">
        <v>0.363501091054935</v>
      </c>
      <c r="F43" s="10" t="s">
        <v>17</v>
      </c>
      <c r="G43" s="10" t="s">
        <v>17</v>
      </c>
    </row>
    <row r="44" spans="1:7" x14ac:dyDescent="0.25">
      <c r="A44" s="6" t="s">
        <v>60</v>
      </c>
      <c r="B44" s="7" t="s">
        <v>302</v>
      </c>
      <c r="C44" s="8">
        <v>756847.39</v>
      </c>
      <c r="D44" s="8">
        <v>406740.05</v>
      </c>
      <c r="E44" s="9">
        <v>0.53741355968737603</v>
      </c>
      <c r="F44" s="10" t="s">
        <v>17</v>
      </c>
      <c r="G44" s="10" t="s">
        <v>17</v>
      </c>
    </row>
    <row r="45" spans="1:7" x14ac:dyDescent="0.25">
      <c r="A45" s="6" t="s">
        <v>61</v>
      </c>
      <c r="B45" s="7" t="s">
        <v>252</v>
      </c>
      <c r="C45" s="8">
        <v>712849.8</v>
      </c>
      <c r="D45" s="8">
        <v>134121.9</v>
      </c>
      <c r="E45" s="9">
        <v>0.188148891954518</v>
      </c>
      <c r="F45" s="10" t="s">
        <v>17</v>
      </c>
      <c r="G45" s="10" t="s">
        <v>17</v>
      </c>
    </row>
    <row r="46" spans="1:7" x14ac:dyDescent="0.25">
      <c r="A46" s="6" t="s">
        <v>62</v>
      </c>
      <c r="B46" s="7" t="s">
        <v>196</v>
      </c>
      <c r="C46" s="8">
        <v>708849.03</v>
      </c>
      <c r="D46" s="8">
        <v>94070.93</v>
      </c>
      <c r="E46" s="9">
        <v>0.132709400759143</v>
      </c>
      <c r="F46" s="10" t="s">
        <v>17</v>
      </c>
      <c r="G46" s="10" t="s">
        <v>17</v>
      </c>
    </row>
    <row r="47" spans="1:7" x14ac:dyDescent="0.25">
      <c r="A47" s="6" t="s">
        <v>63</v>
      </c>
      <c r="B47" s="7" t="s">
        <v>198</v>
      </c>
      <c r="C47" s="8">
        <v>695139.05</v>
      </c>
      <c r="D47" s="8">
        <v>102349.6</v>
      </c>
      <c r="E47" s="9">
        <v>0.14723615368752499</v>
      </c>
      <c r="F47" s="10" t="s">
        <v>17</v>
      </c>
      <c r="G47" s="10" t="s">
        <v>17</v>
      </c>
    </row>
    <row r="48" spans="1:7" x14ac:dyDescent="0.25">
      <c r="A48" s="6" t="s">
        <v>64</v>
      </c>
      <c r="B48" s="7" t="s">
        <v>213</v>
      </c>
      <c r="C48" s="8">
        <v>635110.35</v>
      </c>
      <c r="D48" s="8">
        <v>6905.37</v>
      </c>
      <c r="E48" s="9">
        <v>1.0872708970968601E-2</v>
      </c>
      <c r="F48" s="10" t="s">
        <v>17</v>
      </c>
      <c r="G48" s="10" t="s">
        <v>17</v>
      </c>
    </row>
    <row r="49" spans="1:7" x14ac:dyDescent="0.25">
      <c r="A49" s="6" t="s">
        <v>65</v>
      </c>
      <c r="B49" s="7" t="s">
        <v>201</v>
      </c>
      <c r="C49" s="8">
        <v>631890.98</v>
      </c>
      <c r="D49" s="8">
        <v>109269.29</v>
      </c>
      <c r="E49" s="9">
        <v>0.17292427564008001</v>
      </c>
      <c r="F49" s="10" t="s">
        <v>13</v>
      </c>
      <c r="G49" s="11">
        <f>(D49 / F49)</f>
        <v>36.423096666666666</v>
      </c>
    </row>
    <row r="50" spans="1:7" x14ac:dyDescent="0.25">
      <c r="A50" s="6" t="s">
        <v>66</v>
      </c>
      <c r="B50" s="7" t="s">
        <v>197</v>
      </c>
      <c r="C50" s="8">
        <v>625637.46</v>
      </c>
      <c r="D50" s="8">
        <v>153011.10999999999</v>
      </c>
      <c r="E50" s="9">
        <v>0.24456833195378</v>
      </c>
      <c r="F50" s="10" t="s">
        <v>11</v>
      </c>
      <c r="G50" s="11">
        <f>(D50 / F50)</f>
        <v>40.657787260953555</v>
      </c>
    </row>
    <row r="51" spans="1:7" x14ac:dyDescent="0.25">
      <c r="A51" s="6" t="s">
        <v>67</v>
      </c>
      <c r="B51" s="7" t="s">
        <v>205</v>
      </c>
      <c r="C51" s="8">
        <v>596736.56999999995</v>
      </c>
      <c r="D51" s="8">
        <v>88235.3</v>
      </c>
      <c r="E51" s="9">
        <v>0.14786306795308399</v>
      </c>
      <c r="F51" s="10" t="s">
        <v>17</v>
      </c>
      <c r="G51" s="10" t="s">
        <v>17</v>
      </c>
    </row>
    <row r="52" spans="1:7" x14ac:dyDescent="0.25">
      <c r="A52" s="6" t="s">
        <v>68</v>
      </c>
      <c r="B52" s="7" t="s">
        <v>202</v>
      </c>
      <c r="C52" s="8">
        <v>563305.98</v>
      </c>
      <c r="D52" s="8">
        <v>115151.61</v>
      </c>
      <c r="E52" s="9">
        <v>0.20442106792475401</v>
      </c>
      <c r="F52" s="10" t="s">
        <v>17</v>
      </c>
      <c r="G52" s="10" t="s">
        <v>17</v>
      </c>
    </row>
    <row r="53" spans="1:7" x14ac:dyDescent="0.25">
      <c r="A53" s="6" t="s">
        <v>69</v>
      </c>
      <c r="B53" s="7" t="s">
        <v>203</v>
      </c>
      <c r="C53" s="8">
        <v>551255.12</v>
      </c>
      <c r="D53" s="8">
        <v>61511.519999999997</v>
      </c>
      <c r="E53" s="9">
        <v>0.111584487414829</v>
      </c>
      <c r="F53" s="10" t="s">
        <v>17</v>
      </c>
      <c r="G53" s="10" t="s">
        <v>17</v>
      </c>
    </row>
    <row r="54" spans="1:7" x14ac:dyDescent="0.25">
      <c r="A54" s="6" t="s">
        <v>70</v>
      </c>
      <c r="B54" s="7" t="s">
        <v>204</v>
      </c>
      <c r="C54" s="8">
        <v>523299.96</v>
      </c>
      <c r="D54" s="8">
        <v>103936.32000000001</v>
      </c>
      <c r="E54" s="9">
        <v>0.19861709907258501</v>
      </c>
      <c r="F54" s="10" t="s">
        <v>17</v>
      </c>
      <c r="G54" s="10" t="s">
        <v>17</v>
      </c>
    </row>
    <row r="55" spans="1:7" x14ac:dyDescent="0.25">
      <c r="A55" s="6" t="s">
        <v>71</v>
      </c>
      <c r="B55" s="7" t="s">
        <v>237</v>
      </c>
      <c r="C55" s="8">
        <v>492079.48</v>
      </c>
      <c r="D55" s="8">
        <v>210950.73</v>
      </c>
      <c r="E55" s="9">
        <v>0.42869239335076498</v>
      </c>
      <c r="F55" s="10" t="s">
        <v>17</v>
      </c>
      <c r="G55" s="10" t="s">
        <v>17</v>
      </c>
    </row>
    <row r="56" spans="1:7" x14ac:dyDescent="0.25">
      <c r="A56" s="6" t="s">
        <v>72</v>
      </c>
      <c r="B56" s="7" t="s">
        <v>200</v>
      </c>
      <c r="C56" s="8">
        <v>469662.45</v>
      </c>
      <c r="D56" s="8">
        <v>95151.360000000001</v>
      </c>
      <c r="E56" s="9">
        <v>0.202595204279158</v>
      </c>
      <c r="F56" s="10" t="s">
        <v>17</v>
      </c>
      <c r="G56" s="10" t="s">
        <v>17</v>
      </c>
    </row>
    <row r="57" spans="1:7" x14ac:dyDescent="0.25">
      <c r="A57" s="6" t="s">
        <v>73</v>
      </c>
      <c r="B57" s="7" t="s">
        <v>215</v>
      </c>
      <c r="C57" s="8">
        <v>463179.05</v>
      </c>
      <c r="D57" s="8">
        <v>72698.789999999994</v>
      </c>
      <c r="E57" s="9">
        <v>0.15695612744142901</v>
      </c>
      <c r="F57" s="10" t="s">
        <v>17</v>
      </c>
      <c r="G57" s="10" t="s">
        <v>17</v>
      </c>
    </row>
    <row r="58" spans="1:7" x14ac:dyDescent="0.25">
      <c r="A58" s="6" t="s">
        <v>74</v>
      </c>
      <c r="B58" s="7" t="s">
        <v>208</v>
      </c>
      <c r="C58" s="8">
        <v>462327.08350000001</v>
      </c>
      <c r="D58" s="8">
        <v>94215.77</v>
      </c>
      <c r="E58" s="9">
        <v>0.20378596314701899</v>
      </c>
      <c r="F58" s="10" t="s">
        <v>14</v>
      </c>
      <c r="G58" s="11">
        <f>(D58 / F58)</f>
        <v>37.686308000000004</v>
      </c>
    </row>
    <row r="59" spans="1:7" x14ac:dyDescent="0.25">
      <c r="A59" s="6" t="s">
        <v>75</v>
      </c>
      <c r="B59" s="7" t="s">
        <v>207</v>
      </c>
      <c r="C59" s="8">
        <v>460114.01</v>
      </c>
      <c r="D59" s="8">
        <v>137350.45000000001</v>
      </c>
      <c r="E59" s="9">
        <v>0.298513948749355</v>
      </c>
      <c r="F59" s="10" t="s">
        <v>17</v>
      </c>
      <c r="G59" s="10" t="s">
        <v>17</v>
      </c>
    </row>
    <row r="60" spans="1:7" x14ac:dyDescent="0.25">
      <c r="A60" s="6" t="s">
        <v>76</v>
      </c>
      <c r="B60" s="7" t="s">
        <v>221</v>
      </c>
      <c r="C60" s="8">
        <v>455067.3</v>
      </c>
      <c r="D60" s="8">
        <v>154513.07</v>
      </c>
      <c r="E60" s="9">
        <v>0.33953894292119002</v>
      </c>
      <c r="F60" s="10" t="s">
        <v>17</v>
      </c>
      <c r="G60" s="10" t="s">
        <v>17</v>
      </c>
    </row>
    <row r="61" spans="1:7" x14ac:dyDescent="0.25">
      <c r="A61" s="6" t="s">
        <v>77</v>
      </c>
      <c r="B61" s="7" t="s">
        <v>250</v>
      </c>
      <c r="C61" s="8">
        <v>438531.75</v>
      </c>
      <c r="D61" s="8">
        <v>214603.68</v>
      </c>
      <c r="E61" s="9">
        <v>0.489368626102899</v>
      </c>
      <c r="F61" s="10" t="s">
        <v>17</v>
      </c>
      <c r="G61" s="10" t="s">
        <v>17</v>
      </c>
    </row>
    <row r="62" spans="1:7" x14ac:dyDescent="0.25">
      <c r="A62" s="6" t="s">
        <v>78</v>
      </c>
      <c r="B62" s="7" t="s">
        <v>223</v>
      </c>
      <c r="C62" s="8">
        <v>428548.24</v>
      </c>
      <c r="D62" s="8">
        <v>56715.12</v>
      </c>
      <c r="E62" s="9">
        <v>0.13234244060832001</v>
      </c>
      <c r="F62" s="10" t="s">
        <v>17</v>
      </c>
      <c r="G62" s="10" t="s">
        <v>17</v>
      </c>
    </row>
    <row r="63" spans="1:7" x14ac:dyDescent="0.25">
      <c r="A63" s="6" t="s">
        <v>79</v>
      </c>
      <c r="B63" s="7" t="s">
        <v>214</v>
      </c>
      <c r="C63" s="8">
        <v>409726.37</v>
      </c>
      <c r="D63" s="8">
        <v>19050.21</v>
      </c>
      <c r="E63" s="9">
        <v>4.64949571100342E-2</v>
      </c>
      <c r="F63" s="10" t="s">
        <v>17</v>
      </c>
      <c r="G63" s="10" t="s">
        <v>17</v>
      </c>
    </row>
    <row r="64" spans="1:7" x14ac:dyDescent="0.25">
      <c r="A64" s="6" t="s">
        <v>80</v>
      </c>
      <c r="B64" s="7" t="s">
        <v>211</v>
      </c>
      <c r="C64" s="8">
        <v>408725.13</v>
      </c>
      <c r="D64" s="8">
        <v>61762.82</v>
      </c>
      <c r="E64" s="9">
        <v>0.151110894502621</v>
      </c>
      <c r="F64" s="10" t="s">
        <v>17</v>
      </c>
      <c r="G64" s="10" t="s">
        <v>17</v>
      </c>
    </row>
    <row r="65" spans="1:7" x14ac:dyDescent="0.25">
      <c r="A65" s="6" t="s">
        <v>81</v>
      </c>
      <c r="B65" s="7" t="s">
        <v>304</v>
      </c>
      <c r="C65" s="8">
        <v>402142.85</v>
      </c>
      <c r="D65" s="8">
        <v>65814.789999999994</v>
      </c>
      <c r="E65" s="9">
        <v>0.16366022670799699</v>
      </c>
      <c r="F65" s="10" t="s">
        <v>17</v>
      </c>
      <c r="G65" s="10" t="s">
        <v>17</v>
      </c>
    </row>
    <row r="66" spans="1:7" x14ac:dyDescent="0.25">
      <c r="A66" s="6" t="s">
        <v>82</v>
      </c>
      <c r="B66" s="7" t="s">
        <v>209</v>
      </c>
      <c r="C66" s="8">
        <v>399895.58</v>
      </c>
      <c r="D66" s="8">
        <v>67476.399999999994</v>
      </c>
      <c r="E66" s="9">
        <v>0.16873504828435501</v>
      </c>
      <c r="F66" s="10" t="s">
        <v>17</v>
      </c>
      <c r="G66" s="10" t="s">
        <v>17</v>
      </c>
    </row>
    <row r="67" spans="1:7" x14ac:dyDescent="0.25">
      <c r="A67" s="6" t="s">
        <v>83</v>
      </c>
      <c r="B67" s="7" t="s">
        <v>212</v>
      </c>
      <c r="C67" s="8">
        <v>397984.63</v>
      </c>
      <c r="D67" s="8">
        <v>74736.039999999994</v>
      </c>
      <c r="E67" s="9">
        <v>0.18778624692114401</v>
      </c>
      <c r="F67" s="10" t="s">
        <v>17</v>
      </c>
      <c r="G67" s="10" t="s">
        <v>17</v>
      </c>
    </row>
    <row r="68" spans="1:7" x14ac:dyDescent="0.25">
      <c r="A68" s="6" t="s">
        <v>84</v>
      </c>
      <c r="B68" s="7" t="s">
        <v>210</v>
      </c>
      <c r="C68" s="8">
        <v>378014.74099999998</v>
      </c>
      <c r="D68" s="8">
        <v>71081.97</v>
      </c>
      <c r="E68" s="9">
        <v>0.18804020661194301</v>
      </c>
      <c r="F68" s="10" t="s">
        <v>17</v>
      </c>
      <c r="G68" s="10" t="s">
        <v>17</v>
      </c>
    </row>
    <row r="69" spans="1:7" x14ac:dyDescent="0.25">
      <c r="A69" s="6" t="s">
        <v>85</v>
      </c>
      <c r="B69" s="7" t="s">
        <v>218</v>
      </c>
      <c r="C69" s="8">
        <v>373478.14</v>
      </c>
      <c r="D69" s="8">
        <v>53894.19</v>
      </c>
      <c r="E69" s="9">
        <v>0.14430346579320499</v>
      </c>
      <c r="F69" s="10" t="s">
        <v>17</v>
      </c>
      <c r="G69" s="10" t="s">
        <v>17</v>
      </c>
    </row>
    <row r="70" spans="1:7" x14ac:dyDescent="0.25">
      <c r="A70" s="6" t="s">
        <v>86</v>
      </c>
      <c r="B70" s="7" t="s">
        <v>220</v>
      </c>
      <c r="C70" s="8">
        <v>360766.96</v>
      </c>
      <c r="D70" s="8">
        <v>64002.69</v>
      </c>
      <c r="E70" s="9">
        <v>0.17740729361690999</v>
      </c>
      <c r="F70" s="10" t="s">
        <v>17</v>
      </c>
      <c r="G70" s="10" t="s">
        <v>17</v>
      </c>
    </row>
    <row r="71" spans="1:7" x14ac:dyDescent="0.25">
      <c r="A71" s="6" t="s">
        <v>87</v>
      </c>
      <c r="B71" s="7" t="s">
        <v>222</v>
      </c>
      <c r="C71" s="8">
        <v>355972.34</v>
      </c>
      <c r="D71" s="8">
        <v>41196.97</v>
      </c>
      <c r="E71" s="9">
        <v>0.11573081773713099</v>
      </c>
      <c r="F71" s="10" t="s">
        <v>17</v>
      </c>
      <c r="G71" s="10" t="s">
        <v>17</v>
      </c>
    </row>
    <row r="72" spans="1:7" x14ac:dyDescent="0.25">
      <c r="A72" s="6" t="s">
        <v>88</v>
      </c>
      <c r="B72" s="7" t="s">
        <v>217</v>
      </c>
      <c r="C72" s="8">
        <v>343095.9</v>
      </c>
      <c r="D72" s="8">
        <v>50608.959999999999</v>
      </c>
      <c r="E72" s="9">
        <v>0.147506746655964</v>
      </c>
      <c r="F72" s="10" t="s">
        <v>15</v>
      </c>
      <c r="G72" s="11">
        <f>(D72 / F72)</f>
        <v>50.608959999999996</v>
      </c>
    </row>
    <row r="73" spans="1:7" x14ac:dyDescent="0.25">
      <c r="A73" s="6" t="s">
        <v>89</v>
      </c>
      <c r="B73" s="7" t="s">
        <v>329</v>
      </c>
      <c r="C73" s="8">
        <v>328457.51</v>
      </c>
      <c r="D73" s="8">
        <v>289883.53999999998</v>
      </c>
      <c r="E73" s="9">
        <v>0.88256024348476603</v>
      </c>
      <c r="F73" s="10" t="s">
        <v>17</v>
      </c>
      <c r="G73" s="10" t="s">
        <v>17</v>
      </c>
    </row>
    <row r="74" spans="1:7" x14ac:dyDescent="0.25">
      <c r="A74" s="6" t="s">
        <v>90</v>
      </c>
      <c r="B74" s="7" t="s">
        <v>216</v>
      </c>
      <c r="C74" s="8">
        <v>318431.58</v>
      </c>
      <c r="D74" s="8">
        <v>167874.94</v>
      </c>
      <c r="E74" s="9">
        <v>0.52719312575718802</v>
      </c>
      <c r="F74" s="10" t="s">
        <v>17</v>
      </c>
      <c r="G74" s="10" t="s">
        <v>17</v>
      </c>
    </row>
    <row r="75" spans="1:7" x14ac:dyDescent="0.25">
      <c r="A75" s="6" t="s">
        <v>91</v>
      </c>
      <c r="B75" s="7" t="s">
        <v>226</v>
      </c>
      <c r="C75" s="8">
        <v>317818.14</v>
      </c>
      <c r="D75" s="8">
        <v>20179.73</v>
      </c>
      <c r="E75" s="9">
        <v>6.3494582153177298E-2</v>
      </c>
      <c r="F75" s="10" t="s">
        <v>17</v>
      </c>
      <c r="G75" s="10" t="s">
        <v>17</v>
      </c>
    </row>
    <row r="76" spans="1:7" x14ac:dyDescent="0.25">
      <c r="A76" s="6" t="s">
        <v>92</v>
      </c>
      <c r="B76" s="7" t="s">
        <v>227</v>
      </c>
      <c r="C76" s="8">
        <v>313883.51</v>
      </c>
      <c r="D76" s="8">
        <v>27299.21</v>
      </c>
      <c r="E76" s="9">
        <v>8.6972424897376693E-2</v>
      </c>
      <c r="F76" s="10" t="s">
        <v>17</v>
      </c>
      <c r="G76" s="10" t="s">
        <v>17</v>
      </c>
    </row>
    <row r="77" spans="1:7" x14ac:dyDescent="0.25">
      <c r="A77" s="6" t="s">
        <v>93</v>
      </c>
      <c r="B77" s="7" t="s">
        <v>224</v>
      </c>
      <c r="C77" s="8">
        <v>304308.78999999998</v>
      </c>
      <c r="D77" s="8">
        <v>59287.64</v>
      </c>
      <c r="E77" s="9">
        <v>0.19482723453371201</v>
      </c>
      <c r="F77" s="10" t="s">
        <v>17</v>
      </c>
      <c r="G77" s="10" t="s">
        <v>17</v>
      </c>
    </row>
    <row r="78" spans="1:7" x14ac:dyDescent="0.25">
      <c r="A78" s="6" t="s">
        <v>94</v>
      </c>
      <c r="B78" s="7" t="s">
        <v>303</v>
      </c>
      <c r="C78" s="8">
        <v>301957.61</v>
      </c>
      <c r="D78" s="8">
        <v>17632.91</v>
      </c>
      <c r="E78" s="9">
        <v>5.8395315819329698E-2</v>
      </c>
      <c r="F78" s="10" t="s">
        <v>17</v>
      </c>
      <c r="G78" s="10" t="s">
        <v>17</v>
      </c>
    </row>
    <row r="79" spans="1:7" x14ac:dyDescent="0.25">
      <c r="A79" s="6" t="s">
        <v>95</v>
      </c>
      <c r="B79" s="7" t="s">
        <v>228</v>
      </c>
      <c r="C79" s="8">
        <v>290821.21999999997</v>
      </c>
      <c r="D79" s="8">
        <v>14430.33</v>
      </c>
      <c r="E79" s="9">
        <v>4.9619247178730598E-2</v>
      </c>
      <c r="F79" s="10" t="s">
        <v>17</v>
      </c>
      <c r="G79" s="10" t="s">
        <v>17</v>
      </c>
    </row>
    <row r="80" spans="1:7" x14ac:dyDescent="0.25">
      <c r="A80" s="6" t="s">
        <v>96</v>
      </c>
      <c r="B80" s="7" t="s">
        <v>229</v>
      </c>
      <c r="C80" s="8">
        <v>284773.93</v>
      </c>
      <c r="D80" s="8">
        <v>28327.21</v>
      </c>
      <c r="E80" s="9">
        <v>9.9472623775638494E-2</v>
      </c>
      <c r="F80" s="10" t="s">
        <v>17</v>
      </c>
      <c r="G80" s="10" t="s">
        <v>17</v>
      </c>
    </row>
    <row r="81" spans="1:7" x14ac:dyDescent="0.25">
      <c r="A81" s="6" t="s">
        <v>97</v>
      </c>
      <c r="B81" s="7" t="s">
        <v>232</v>
      </c>
      <c r="C81" s="8">
        <v>277866.52</v>
      </c>
      <c r="D81" s="8">
        <v>12725.1</v>
      </c>
      <c r="E81" s="9">
        <v>4.5795729546690297E-2</v>
      </c>
      <c r="F81" s="10" t="s">
        <v>17</v>
      </c>
      <c r="G81" s="10" t="s">
        <v>17</v>
      </c>
    </row>
    <row r="82" spans="1:7" x14ac:dyDescent="0.25">
      <c r="A82" s="6" t="s">
        <v>98</v>
      </c>
      <c r="B82" s="7" t="s">
        <v>231</v>
      </c>
      <c r="C82" s="8">
        <v>276136.48</v>
      </c>
      <c r="D82" s="8">
        <v>22511.48</v>
      </c>
      <c r="E82" s="9">
        <v>8.1523020790299106E-2</v>
      </c>
      <c r="F82" s="10" t="s">
        <v>17</v>
      </c>
      <c r="G82" s="10" t="s">
        <v>17</v>
      </c>
    </row>
    <row r="83" spans="1:7" x14ac:dyDescent="0.25">
      <c r="A83" s="6" t="s">
        <v>99</v>
      </c>
      <c r="B83" s="7" t="s">
        <v>254</v>
      </c>
      <c r="C83" s="8">
        <v>269165.49</v>
      </c>
      <c r="D83" s="8">
        <v>42723.31</v>
      </c>
      <c r="E83" s="9">
        <v>0.158725065386354</v>
      </c>
      <c r="F83" s="10" t="s">
        <v>17</v>
      </c>
      <c r="G83" s="10" t="s">
        <v>17</v>
      </c>
    </row>
    <row r="84" spans="1:7" x14ac:dyDescent="0.25">
      <c r="A84" s="6" t="s">
        <v>100</v>
      </c>
      <c r="B84" s="7" t="s">
        <v>234</v>
      </c>
      <c r="C84" s="8">
        <v>263364.39</v>
      </c>
      <c r="D84" s="8">
        <v>25281.27</v>
      </c>
      <c r="E84" s="9">
        <v>9.5993501627156197E-2</v>
      </c>
      <c r="F84" s="10" t="s">
        <v>17</v>
      </c>
      <c r="G84" s="10" t="s">
        <v>17</v>
      </c>
    </row>
    <row r="85" spans="1:7" x14ac:dyDescent="0.25">
      <c r="A85" s="6" t="s">
        <v>101</v>
      </c>
      <c r="B85" s="7" t="s">
        <v>233</v>
      </c>
      <c r="C85" s="8">
        <v>255551.72</v>
      </c>
      <c r="D85" s="8">
        <v>47022.19</v>
      </c>
      <c r="E85" s="9">
        <v>0.18400263555259999</v>
      </c>
      <c r="F85" s="10" t="s">
        <v>17</v>
      </c>
      <c r="G85" s="10" t="s">
        <v>17</v>
      </c>
    </row>
    <row r="86" spans="1:7" x14ac:dyDescent="0.25">
      <c r="A86" s="6" t="s">
        <v>102</v>
      </c>
      <c r="B86" s="7" t="s">
        <v>235</v>
      </c>
      <c r="C86" s="8">
        <v>238229.86</v>
      </c>
      <c r="D86" s="8">
        <v>25258.05</v>
      </c>
      <c r="E86" s="9">
        <v>0.10602386283566601</v>
      </c>
      <c r="F86" s="10" t="s">
        <v>17</v>
      </c>
      <c r="G86" s="10" t="s">
        <v>17</v>
      </c>
    </row>
    <row r="87" spans="1:7" x14ac:dyDescent="0.25">
      <c r="A87" s="6" t="s">
        <v>103</v>
      </c>
      <c r="B87" s="7" t="s">
        <v>236</v>
      </c>
      <c r="C87" s="8">
        <v>224873.28</v>
      </c>
      <c r="D87" s="8">
        <v>73730.28</v>
      </c>
      <c r="E87" s="9">
        <v>0.32787479241642198</v>
      </c>
      <c r="F87" s="10" t="s">
        <v>17</v>
      </c>
      <c r="G87" s="10" t="s">
        <v>17</v>
      </c>
    </row>
    <row r="88" spans="1:7" x14ac:dyDescent="0.25">
      <c r="A88" s="6" t="s">
        <v>104</v>
      </c>
      <c r="B88" s="7" t="s">
        <v>305</v>
      </c>
      <c r="C88" s="8">
        <v>212577.53</v>
      </c>
      <c r="D88" s="8">
        <v>158705.38</v>
      </c>
      <c r="E88" s="9">
        <v>0.74657646083290197</v>
      </c>
      <c r="F88" s="10" t="s">
        <v>17</v>
      </c>
      <c r="G88" s="10" t="s">
        <v>17</v>
      </c>
    </row>
    <row r="89" spans="1:7" x14ac:dyDescent="0.25">
      <c r="A89" s="12" t="s">
        <v>105</v>
      </c>
      <c r="B89" s="13" t="s">
        <v>230</v>
      </c>
      <c r="C89" s="14">
        <v>203181.16</v>
      </c>
      <c r="D89" s="14">
        <v>43809.919999999998</v>
      </c>
      <c r="E89" s="15">
        <v>0.21561999153858599</v>
      </c>
      <c r="F89" s="16" t="s">
        <v>292</v>
      </c>
      <c r="G89" s="17">
        <f>(D89 / F89)</f>
        <v>11.840518918918919</v>
      </c>
    </row>
    <row r="90" spans="1:7" x14ac:dyDescent="0.25">
      <c r="A90" s="6" t="s">
        <v>106</v>
      </c>
      <c r="B90" s="7" t="s">
        <v>238</v>
      </c>
      <c r="C90" s="8">
        <v>199406.51</v>
      </c>
      <c r="D90" s="8">
        <v>12052.08</v>
      </c>
      <c r="E90" s="9">
        <v>6.0439751941900002E-2</v>
      </c>
      <c r="F90" s="10" t="s">
        <v>17</v>
      </c>
      <c r="G90" s="10" t="s">
        <v>17</v>
      </c>
    </row>
    <row r="91" spans="1:7" x14ac:dyDescent="0.25">
      <c r="A91" s="6" t="s">
        <v>107</v>
      </c>
      <c r="B91" s="7" t="s">
        <v>239</v>
      </c>
      <c r="C91" s="8">
        <v>191627.71</v>
      </c>
      <c r="D91" s="8">
        <v>159787.15</v>
      </c>
      <c r="E91" s="9">
        <v>0.83384156706772705</v>
      </c>
      <c r="F91" s="10" t="s">
        <v>17</v>
      </c>
      <c r="G91" s="10" t="s">
        <v>17</v>
      </c>
    </row>
    <row r="92" spans="1:7" x14ac:dyDescent="0.25">
      <c r="A92" s="6" t="s">
        <v>108</v>
      </c>
      <c r="B92" s="7" t="s">
        <v>275</v>
      </c>
      <c r="C92" s="8">
        <v>172331.68</v>
      </c>
      <c r="D92" s="8">
        <v>4809.66</v>
      </c>
      <c r="E92" s="9">
        <v>2.79093199810969E-2</v>
      </c>
      <c r="F92" s="10" t="s">
        <v>17</v>
      </c>
      <c r="G92" s="10" t="s">
        <v>17</v>
      </c>
    </row>
    <row r="93" spans="1:7" x14ac:dyDescent="0.25">
      <c r="A93" s="6" t="s">
        <v>109</v>
      </c>
      <c r="B93" s="7" t="s">
        <v>240</v>
      </c>
      <c r="C93" s="8">
        <v>161173.39000000001</v>
      </c>
      <c r="D93" s="8">
        <v>12008.09</v>
      </c>
      <c r="E93" s="9">
        <v>7.4504172183758099E-2</v>
      </c>
      <c r="F93" s="10" t="s">
        <v>17</v>
      </c>
      <c r="G93" s="10" t="s">
        <v>17</v>
      </c>
    </row>
    <row r="94" spans="1:7" x14ac:dyDescent="0.25">
      <c r="A94" s="6" t="s">
        <v>110</v>
      </c>
      <c r="B94" s="7" t="s">
        <v>276</v>
      </c>
      <c r="C94" s="8">
        <v>152767.45000000001</v>
      </c>
      <c r="D94" s="8">
        <v>19449.099999999999</v>
      </c>
      <c r="E94" s="9">
        <v>0.12731180627810401</v>
      </c>
      <c r="F94" s="10" t="s">
        <v>17</v>
      </c>
      <c r="G94" s="10" t="s">
        <v>17</v>
      </c>
    </row>
    <row r="95" spans="1:7" x14ac:dyDescent="0.25">
      <c r="A95" s="6" t="s">
        <v>111</v>
      </c>
      <c r="B95" s="7" t="s">
        <v>307</v>
      </c>
      <c r="C95" s="8">
        <v>150810.21</v>
      </c>
      <c r="D95" s="8">
        <v>89222.46</v>
      </c>
      <c r="E95" s="9">
        <v>0.59162081930659705</v>
      </c>
      <c r="F95" s="10" t="s">
        <v>17</v>
      </c>
      <c r="G95" s="10" t="s">
        <v>17</v>
      </c>
    </row>
    <row r="96" spans="1:7" x14ac:dyDescent="0.25">
      <c r="A96" s="6" t="s">
        <v>112</v>
      </c>
      <c r="B96" s="7" t="s">
        <v>243</v>
      </c>
      <c r="C96" s="8">
        <v>147541.22</v>
      </c>
      <c r="D96" s="8">
        <v>10988.89</v>
      </c>
      <c r="E96" s="9">
        <v>7.4480135110716897E-2</v>
      </c>
      <c r="F96" s="10" t="s">
        <v>17</v>
      </c>
      <c r="G96" s="10" t="s">
        <v>17</v>
      </c>
    </row>
    <row r="97" spans="1:7" x14ac:dyDescent="0.25">
      <c r="A97" s="6" t="s">
        <v>113</v>
      </c>
      <c r="B97" s="7" t="s">
        <v>241</v>
      </c>
      <c r="C97" s="8">
        <v>144225.20000000001</v>
      </c>
      <c r="D97" s="8">
        <v>18469.04</v>
      </c>
      <c r="E97" s="9">
        <v>0.12805695537257</v>
      </c>
      <c r="F97" s="10" t="s">
        <v>16</v>
      </c>
      <c r="G97" s="11">
        <f>(D97 / F97)</f>
        <v>51.589497206703911</v>
      </c>
    </row>
    <row r="98" spans="1:7" x14ac:dyDescent="0.25">
      <c r="A98" s="6" t="s">
        <v>114</v>
      </c>
      <c r="B98" s="7" t="s">
        <v>244</v>
      </c>
      <c r="C98" s="8">
        <v>141767.41</v>
      </c>
      <c r="D98" s="8">
        <v>5859.33</v>
      </c>
      <c r="E98" s="9">
        <v>4.1330585075935303E-2</v>
      </c>
      <c r="F98" s="10" t="s">
        <v>17</v>
      </c>
      <c r="G98" s="10" t="s">
        <v>17</v>
      </c>
    </row>
    <row r="99" spans="1:7" x14ac:dyDescent="0.25">
      <c r="A99" s="6" t="s">
        <v>115</v>
      </c>
      <c r="B99" s="7" t="s">
        <v>320</v>
      </c>
      <c r="C99" s="8">
        <v>139018.97</v>
      </c>
      <c r="D99" s="8">
        <v>139018.97</v>
      </c>
      <c r="E99" s="9">
        <v>1</v>
      </c>
      <c r="F99" s="10" t="s">
        <v>17</v>
      </c>
      <c r="G99" s="10" t="s">
        <v>17</v>
      </c>
    </row>
    <row r="100" spans="1:7" x14ac:dyDescent="0.25">
      <c r="A100" s="6" t="s">
        <v>116</v>
      </c>
      <c r="B100" s="7" t="s">
        <v>246</v>
      </c>
      <c r="C100" s="8">
        <v>133329.12</v>
      </c>
      <c r="D100" s="8">
        <v>9391.43</v>
      </c>
      <c r="E100" s="9">
        <v>7.0437950839246505E-2</v>
      </c>
      <c r="F100" s="10" t="s">
        <v>17</v>
      </c>
      <c r="G100" s="10" t="s">
        <v>17</v>
      </c>
    </row>
    <row r="101" spans="1:7" x14ac:dyDescent="0.25">
      <c r="A101" s="6" t="s">
        <v>117</v>
      </c>
      <c r="B101" s="7" t="s">
        <v>242</v>
      </c>
      <c r="C101" s="8">
        <v>133057.81</v>
      </c>
      <c r="D101" s="8">
        <v>48020.12</v>
      </c>
      <c r="E101" s="9">
        <v>0.36089666589281799</v>
      </c>
      <c r="F101" s="10" t="s">
        <v>17</v>
      </c>
      <c r="G101" s="10" t="s">
        <v>17</v>
      </c>
    </row>
    <row r="102" spans="1:7" x14ac:dyDescent="0.25">
      <c r="A102" s="6" t="s">
        <v>118</v>
      </c>
      <c r="B102" s="7" t="s">
        <v>245</v>
      </c>
      <c r="C102" s="8">
        <v>126820.05</v>
      </c>
      <c r="D102" s="8">
        <v>8259.73</v>
      </c>
      <c r="E102" s="9">
        <v>6.5129528020214503E-2</v>
      </c>
      <c r="F102" s="10" t="s">
        <v>17</v>
      </c>
      <c r="G102" s="10" t="s">
        <v>17</v>
      </c>
    </row>
    <row r="103" spans="1:7" x14ac:dyDescent="0.25">
      <c r="A103" s="6" t="s">
        <v>119</v>
      </c>
      <c r="B103" s="7" t="s">
        <v>306</v>
      </c>
      <c r="C103" s="8">
        <v>125342.74</v>
      </c>
      <c r="D103" s="8">
        <v>11976.04</v>
      </c>
      <c r="E103" s="9">
        <v>9.5546339580577205E-2</v>
      </c>
      <c r="F103" s="10" t="s">
        <v>17</v>
      </c>
      <c r="G103" s="10" t="s">
        <v>17</v>
      </c>
    </row>
    <row r="104" spans="1:7" x14ac:dyDescent="0.25">
      <c r="A104" s="6" t="s">
        <v>120</v>
      </c>
      <c r="B104" s="7" t="s">
        <v>247</v>
      </c>
      <c r="C104" s="8">
        <v>125336.87</v>
      </c>
      <c r="D104" s="8">
        <v>20311.169999999998</v>
      </c>
      <c r="E104" s="9">
        <v>0.162052634631773</v>
      </c>
      <c r="F104" s="10" t="s">
        <v>17</v>
      </c>
      <c r="G104" s="10" t="s">
        <v>17</v>
      </c>
    </row>
    <row r="105" spans="1:7" x14ac:dyDescent="0.25">
      <c r="A105" s="6" t="s">
        <v>121</v>
      </c>
      <c r="B105" s="7" t="s">
        <v>248</v>
      </c>
      <c r="C105" s="8">
        <v>112116.38</v>
      </c>
      <c r="D105" s="8">
        <v>4094.37</v>
      </c>
      <c r="E105" s="9">
        <v>3.6518927921147699E-2</v>
      </c>
      <c r="F105" s="10" t="s">
        <v>17</v>
      </c>
      <c r="G105" s="10" t="s">
        <v>17</v>
      </c>
    </row>
    <row r="106" spans="1:7" x14ac:dyDescent="0.25">
      <c r="A106" s="6" t="s">
        <v>122</v>
      </c>
      <c r="B106" s="7" t="s">
        <v>295</v>
      </c>
      <c r="C106" s="8">
        <v>108903.46</v>
      </c>
      <c r="D106" s="8">
        <v>12150.3</v>
      </c>
      <c r="E106" s="9">
        <v>0.11156945794008701</v>
      </c>
      <c r="F106" s="10" t="s">
        <v>17</v>
      </c>
      <c r="G106" s="10" t="s">
        <v>17</v>
      </c>
    </row>
    <row r="107" spans="1:7" x14ac:dyDescent="0.25">
      <c r="A107" s="6" t="s">
        <v>123</v>
      </c>
      <c r="B107" s="7" t="s">
        <v>249</v>
      </c>
      <c r="C107" s="8">
        <v>101290.01</v>
      </c>
      <c r="D107" s="8">
        <v>13302.56</v>
      </c>
      <c r="E107" s="9">
        <v>0.13133141165649001</v>
      </c>
      <c r="F107" s="10" t="s">
        <v>17</v>
      </c>
      <c r="G107" s="10" t="s">
        <v>17</v>
      </c>
    </row>
    <row r="108" spans="1:7" x14ac:dyDescent="0.25">
      <c r="A108" s="6" t="s">
        <v>124</v>
      </c>
      <c r="B108" s="7" t="s">
        <v>331</v>
      </c>
      <c r="C108" s="8">
        <v>100000.08</v>
      </c>
      <c r="D108" s="8">
        <v>100000.08</v>
      </c>
      <c r="E108" s="9">
        <v>1</v>
      </c>
      <c r="F108" s="10" t="s">
        <v>17</v>
      </c>
      <c r="G108" s="10" t="s">
        <v>17</v>
      </c>
    </row>
    <row r="109" spans="1:7" x14ac:dyDescent="0.25">
      <c r="A109" s="6" t="s">
        <v>125</v>
      </c>
      <c r="B109" s="7" t="s">
        <v>309</v>
      </c>
      <c r="C109" s="8">
        <v>96081.5</v>
      </c>
      <c r="D109" s="8">
        <v>12415.95</v>
      </c>
      <c r="E109" s="9">
        <v>0.129223107466057</v>
      </c>
      <c r="F109" s="10" t="s">
        <v>17</v>
      </c>
      <c r="G109" s="10" t="s">
        <v>17</v>
      </c>
    </row>
    <row r="110" spans="1:7" x14ac:dyDescent="0.25">
      <c r="A110" s="6" t="s">
        <v>126</v>
      </c>
      <c r="B110" s="7" t="s">
        <v>317</v>
      </c>
      <c r="C110" s="8">
        <v>88856.35</v>
      </c>
      <c r="D110" s="8">
        <v>596.53</v>
      </c>
      <c r="E110" s="9">
        <v>6.7134200313202098E-3</v>
      </c>
      <c r="F110" s="10" t="s">
        <v>17</v>
      </c>
      <c r="G110" s="10" t="s">
        <v>17</v>
      </c>
    </row>
    <row r="111" spans="1:7" x14ac:dyDescent="0.25">
      <c r="A111" s="6" t="s">
        <v>127</v>
      </c>
      <c r="B111" s="7" t="s">
        <v>253</v>
      </c>
      <c r="C111" s="8">
        <v>83009.55</v>
      </c>
      <c r="D111" s="8">
        <v>5971.3</v>
      </c>
      <c r="E111" s="9">
        <v>7.1935096624424502E-2</v>
      </c>
      <c r="F111" s="10" t="s">
        <v>17</v>
      </c>
      <c r="G111" s="10" t="s">
        <v>17</v>
      </c>
    </row>
    <row r="112" spans="1:7" x14ac:dyDescent="0.25">
      <c r="A112" s="6" t="s">
        <v>128</v>
      </c>
      <c r="B112" s="7" t="s">
        <v>230</v>
      </c>
      <c r="C112" s="8">
        <v>71449.789999999994</v>
      </c>
      <c r="D112" s="8">
        <v>8472.31</v>
      </c>
      <c r="E112" s="9">
        <v>0.118577115482075</v>
      </c>
      <c r="F112" s="10" t="s">
        <v>17</v>
      </c>
      <c r="G112" s="10" t="s">
        <v>17</v>
      </c>
    </row>
    <row r="113" spans="1:7" x14ac:dyDescent="0.25">
      <c r="A113" s="6" t="s">
        <v>129</v>
      </c>
      <c r="B113" s="7" t="s">
        <v>321</v>
      </c>
      <c r="C113" s="8">
        <v>70851.86</v>
      </c>
      <c r="D113" s="8">
        <v>42600.63</v>
      </c>
      <c r="E113" s="9">
        <v>0.60126339661372297</v>
      </c>
      <c r="F113" s="10" t="s">
        <v>17</v>
      </c>
      <c r="G113" s="10" t="s">
        <v>17</v>
      </c>
    </row>
    <row r="114" spans="1:7" x14ac:dyDescent="0.25">
      <c r="A114" s="6" t="s">
        <v>130</v>
      </c>
      <c r="B114" s="7" t="s">
        <v>256</v>
      </c>
      <c r="C114" s="8">
        <v>70779.429999999993</v>
      </c>
      <c r="D114" s="8">
        <v>4681.6899999999996</v>
      </c>
      <c r="E114" s="9">
        <v>6.6144782460101803E-2</v>
      </c>
      <c r="F114" s="10" t="s">
        <v>17</v>
      </c>
      <c r="G114" s="10" t="s">
        <v>17</v>
      </c>
    </row>
    <row r="115" spans="1:7" x14ac:dyDescent="0.25">
      <c r="A115" s="6" t="s">
        <v>131</v>
      </c>
      <c r="B115" s="7" t="s">
        <v>255</v>
      </c>
      <c r="C115" s="8">
        <v>70709.45</v>
      </c>
      <c r="D115" s="8">
        <v>464.3</v>
      </c>
      <c r="E115" s="9">
        <v>6.5663076151773201E-3</v>
      </c>
      <c r="F115" s="10" t="s">
        <v>17</v>
      </c>
      <c r="G115" s="10" t="s">
        <v>17</v>
      </c>
    </row>
    <row r="116" spans="1:7" x14ac:dyDescent="0.25">
      <c r="A116" s="6" t="s">
        <v>132</v>
      </c>
      <c r="B116" s="7" t="s">
        <v>258</v>
      </c>
      <c r="C116" s="8">
        <v>65875.199999999997</v>
      </c>
      <c r="D116" s="8">
        <v>4275.12</v>
      </c>
      <c r="E116" s="9">
        <v>6.4897260273972607E-2</v>
      </c>
      <c r="F116" s="10" t="s">
        <v>17</v>
      </c>
      <c r="G116" s="10" t="s">
        <v>17</v>
      </c>
    </row>
    <row r="117" spans="1:7" x14ac:dyDescent="0.25">
      <c r="A117" s="6" t="s">
        <v>133</v>
      </c>
      <c r="B117" s="7" t="s">
        <v>257</v>
      </c>
      <c r="C117" s="8">
        <v>55570.55</v>
      </c>
      <c r="D117" s="8">
        <v>1553.67</v>
      </c>
      <c r="E117" s="9">
        <v>2.79585139970722E-2</v>
      </c>
      <c r="F117" s="10" t="s">
        <v>17</v>
      </c>
      <c r="G117" s="10" t="s">
        <v>17</v>
      </c>
    </row>
    <row r="118" spans="1:7" x14ac:dyDescent="0.25">
      <c r="A118" s="6" t="s">
        <v>134</v>
      </c>
      <c r="B118" s="7" t="s">
        <v>259</v>
      </c>
      <c r="C118" s="8">
        <v>53387.29</v>
      </c>
      <c r="D118" s="8">
        <v>3760.94</v>
      </c>
      <c r="E118" s="9">
        <v>7.0446355302919497E-2</v>
      </c>
      <c r="F118" s="10" t="s">
        <v>17</v>
      </c>
      <c r="G118" s="10" t="s">
        <v>17</v>
      </c>
    </row>
    <row r="119" spans="1:7" x14ac:dyDescent="0.25">
      <c r="A119" s="6" t="s">
        <v>135</v>
      </c>
      <c r="B119" s="7" t="s">
        <v>262</v>
      </c>
      <c r="C119" s="8">
        <v>49787.71</v>
      </c>
      <c r="D119" s="8">
        <v>6312.98</v>
      </c>
      <c r="E119" s="9">
        <v>0.12679795877336</v>
      </c>
      <c r="F119" s="10" t="s">
        <v>17</v>
      </c>
      <c r="G119" s="10" t="s">
        <v>17</v>
      </c>
    </row>
    <row r="120" spans="1:7" x14ac:dyDescent="0.25">
      <c r="A120" s="6" t="s">
        <v>136</v>
      </c>
      <c r="B120" s="7" t="s">
        <v>291</v>
      </c>
      <c r="C120" s="8">
        <v>48956.27</v>
      </c>
      <c r="D120" s="8">
        <v>7057.3</v>
      </c>
      <c r="E120" s="9">
        <v>0.14415518175710701</v>
      </c>
      <c r="F120" s="10" t="s">
        <v>17</v>
      </c>
      <c r="G120" s="10" t="s">
        <v>17</v>
      </c>
    </row>
    <row r="121" spans="1:7" x14ac:dyDescent="0.25">
      <c r="A121" s="6" t="s">
        <v>137</v>
      </c>
      <c r="B121" s="7" t="s">
        <v>260</v>
      </c>
      <c r="C121" s="8">
        <v>41008.43</v>
      </c>
      <c r="D121" s="8">
        <v>345.25</v>
      </c>
      <c r="E121" s="9">
        <v>8.4190006786409501E-3</v>
      </c>
      <c r="F121" s="10" t="s">
        <v>17</v>
      </c>
      <c r="G121" s="10" t="s">
        <v>17</v>
      </c>
    </row>
    <row r="122" spans="1:7" x14ac:dyDescent="0.25">
      <c r="A122" s="6" t="s">
        <v>138</v>
      </c>
      <c r="B122" s="7" t="s">
        <v>283</v>
      </c>
      <c r="C122" s="8">
        <v>40858.620000000003</v>
      </c>
      <c r="D122" s="8">
        <v>509.96</v>
      </c>
      <c r="E122" s="9">
        <v>1.2481087222231201E-2</v>
      </c>
      <c r="F122" s="10" t="s">
        <v>17</v>
      </c>
      <c r="G122" s="10" t="s">
        <v>17</v>
      </c>
    </row>
    <row r="123" spans="1:7" x14ac:dyDescent="0.25">
      <c r="A123" s="6" t="s">
        <v>139</v>
      </c>
      <c r="B123" s="7" t="s">
        <v>310</v>
      </c>
      <c r="C123" s="8">
        <v>39639.74</v>
      </c>
      <c r="D123" s="8">
        <v>8097.02</v>
      </c>
      <c r="E123" s="9">
        <v>0.204265214655797</v>
      </c>
      <c r="F123" s="10" t="s">
        <v>17</v>
      </c>
      <c r="G123" s="10" t="s">
        <v>17</v>
      </c>
    </row>
    <row r="124" spans="1:7" x14ac:dyDescent="0.25">
      <c r="A124" s="6" t="s">
        <v>140</v>
      </c>
      <c r="B124" s="7" t="s">
        <v>263</v>
      </c>
      <c r="C124" s="8">
        <v>36927.42</v>
      </c>
      <c r="D124" s="8">
        <v>990.23</v>
      </c>
      <c r="E124" s="9">
        <v>2.6815574984659099E-2</v>
      </c>
      <c r="F124" s="10" t="s">
        <v>17</v>
      </c>
      <c r="G124" s="10" t="s">
        <v>17</v>
      </c>
    </row>
    <row r="125" spans="1:7" x14ac:dyDescent="0.25">
      <c r="A125" s="6" t="s">
        <v>141</v>
      </c>
      <c r="B125" s="7" t="s">
        <v>251</v>
      </c>
      <c r="C125" s="8">
        <v>36027.08</v>
      </c>
      <c r="D125" s="8">
        <v>1935.64</v>
      </c>
      <c r="E125" s="9">
        <v>5.3727362861492003E-2</v>
      </c>
      <c r="F125" s="10" t="s">
        <v>17</v>
      </c>
      <c r="G125" s="10" t="s">
        <v>17</v>
      </c>
    </row>
    <row r="126" spans="1:7" x14ac:dyDescent="0.25">
      <c r="A126" s="6" t="s">
        <v>142</v>
      </c>
      <c r="B126" s="7" t="s">
        <v>266</v>
      </c>
      <c r="C126" s="8">
        <v>33971.81</v>
      </c>
      <c r="D126" s="8">
        <v>11635.55</v>
      </c>
      <c r="E126" s="9">
        <v>0.342506036622717</v>
      </c>
      <c r="F126" s="10" t="s">
        <v>17</v>
      </c>
      <c r="G126" s="10" t="s">
        <v>17</v>
      </c>
    </row>
    <row r="127" spans="1:7" x14ac:dyDescent="0.25">
      <c r="A127" s="6" t="s">
        <v>143</v>
      </c>
      <c r="B127" s="7" t="s">
        <v>265</v>
      </c>
      <c r="C127" s="8">
        <v>31100.9</v>
      </c>
      <c r="D127" s="8">
        <v>4907.6000000000004</v>
      </c>
      <c r="E127" s="9">
        <v>0.157796076640869</v>
      </c>
      <c r="F127" s="10" t="s">
        <v>17</v>
      </c>
      <c r="G127" s="10" t="s">
        <v>17</v>
      </c>
    </row>
    <row r="128" spans="1:7" x14ac:dyDescent="0.25">
      <c r="A128" s="6" t="s">
        <v>144</v>
      </c>
      <c r="B128" s="7" t="s">
        <v>264</v>
      </c>
      <c r="C128" s="8">
        <v>30533.49</v>
      </c>
      <c r="D128" s="8">
        <v>1330.62</v>
      </c>
      <c r="E128" s="9">
        <v>4.3579034037707499E-2</v>
      </c>
      <c r="F128" s="10" t="s">
        <v>17</v>
      </c>
      <c r="G128" s="10" t="s">
        <v>17</v>
      </c>
    </row>
    <row r="129" spans="1:7" x14ac:dyDescent="0.25">
      <c r="A129" s="6" t="s">
        <v>145</v>
      </c>
      <c r="B129" s="7" t="s">
        <v>311</v>
      </c>
      <c r="C129" s="8">
        <v>28137.35</v>
      </c>
      <c r="D129" s="8">
        <v>2876.02</v>
      </c>
      <c r="E129" s="9">
        <v>0.102213605758893</v>
      </c>
      <c r="F129" s="10" t="s">
        <v>17</v>
      </c>
      <c r="G129" s="10" t="s">
        <v>17</v>
      </c>
    </row>
    <row r="130" spans="1:7" x14ac:dyDescent="0.25">
      <c r="A130" s="6" t="s">
        <v>146</v>
      </c>
      <c r="B130" s="7" t="s">
        <v>267</v>
      </c>
      <c r="C130" s="8">
        <v>17262.91</v>
      </c>
      <c r="D130" s="8">
        <v>1233.5999999999999</v>
      </c>
      <c r="E130" s="9">
        <v>7.1459562727257495E-2</v>
      </c>
      <c r="F130" s="10" t="s">
        <v>17</v>
      </c>
      <c r="G130" s="10" t="s">
        <v>17</v>
      </c>
    </row>
    <row r="131" spans="1:7" x14ac:dyDescent="0.25">
      <c r="A131" s="6" t="s">
        <v>147</v>
      </c>
      <c r="B131" s="7" t="s">
        <v>268</v>
      </c>
      <c r="C131" s="8">
        <v>16910.349999999999</v>
      </c>
      <c r="D131" s="8">
        <v>870.29</v>
      </c>
      <c r="E131" s="9">
        <v>5.1464931240335098E-2</v>
      </c>
      <c r="F131" s="10" t="s">
        <v>17</v>
      </c>
      <c r="G131" s="10" t="s">
        <v>17</v>
      </c>
    </row>
    <row r="132" spans="1:7" x14ac:dyDescent="0.25">
      <c r="A132" s="6" t="s">
        <v>148</v>
      </c>
      <c r="B132" s="7" t="s">
        <v>270</v>
      </c>
      <c r="C132" s="8">
        <v>14476.87</v>
      </c>
      <c r="D132" s="8">
        <v>120.25</v>
      </c>
      <c r="E132" s="9">
        <v>8.3063535142610303E-3</v>
      </c>
      <c r="F132" s="10" t="s">
        <v>17</v>
      </c>
      <c r="G132" s="10" t="s">
        <v>17</v>
      </c>
    </row>
    <row r="133" spans="1:7" x14ac:dyDescent="0.25">
      <c r="A133" s="6" t="s">
        <v>149</v>
      </c>
      <c r="B133" s="7" t="s">
        <v>269</v>
      </c>
      <c r="C133" s="8">
        <v>14339.55</v>
      </c>
      <c r="D133" s="8">
        <v>1490.95</v>
      </c>
      <c r="E133" s="9">
        <v>0.103974671450638</v>
      </c>
      <c r="F133" s="10" t="s">
        <v>17</v>
      </c>
      <c r="G133" s="10" t="s">
        <v>17</v>
      </c>
    </row>
    <row r="134" spans="1:7" x14ac:dyDescent="0.25">
      <c r="A134" s="6" t="s">
        <v>150</v>
      </c>
      <c r="B134" s="7" t="s">
        <v>277</v>
      </c>
      <c r="C134" s="8">
        <v>13496.23</v>
      </c>
      <c r="D134" s="8">
        <v>804.01</v>
      </c>
      <c r="E134" s="9">
        <v>5.9572932589323099E-2</v>
      </c>
      <c r="F134" s="10" t="s">
        <v>17</v>
      </c>
      <c r="G134" s="10" t="s">
        <v>17</v>
      </c>
    </row>
    <row r="135" spans="1:7" x14ac:dyDescent="0.25">
      <c r="A135" s="6" t="s">
        <v>151</v>
      </c>
      <c r="B135" s="7" t="s">
        <v>286</v>
      </c>
      <c r="C135" s="8">
        <v>7710.23</v>
      </c>
      <c r="D135" s="8">
        <v>81.739999999999995</v>
      </c>
      <c r="E135" s="9">
        <v>1.0601499566160799E-2</v>
      </c>
      <c r="F135" s="10" t="s">
        <v>17</v>
      </c>
      <c r="G135" s="10" t="s">
        <v>17</v>
      </c>
    </row>
    <row r="136" spans="1:7" x14ac:dyDescent="0.25">
      <c r="A136" s="6" t="s">
        <v>152</v>
      </c>
      <c r="B136" s="7" t="s">
        <v>322</v>
      </c>
      <c r="C136" s="8">
        <v>3739.37</v>
      </c>
      <c r="D136" s="8">
        <v>37.25</v>
      </c>
      <c r="E136" s="9">
        <v>9.96157106678398E-3</v>
      </c>
      <c r="F136" s="10" t="s">
        <v>17</v>
      </c>
      <c r="G136" s="10" t="s">
        <v>17</v>
      </c>
    </row>
    <row r="137" spans="1:7" x14ac:dyDescent="0.25">
      <c r="A137" s="6" t="s">
        <v>153</v>
      </c>
      <c r="B137" s="7" t="s">
        <v>312</v>
      </c>
      <c r="C137" s="8">
        <v>2427.16</v>
      </c>
      <c r="D137" s="8">
        <v>55.2</v>
      </c>
      <c r="E137" s="9">
        <v>2.2742629245702799E-2</v>
      </c>
      <c r="F137" s="10" t="s">
        <v>17</v>
      </c>
      <c r="G137" s="10" t="s">
        <v>17</v>
      </c>
    </row>
    <row r="138" spans="1:7" x14ac:dyDescent="0.25">
      <c r="A138" s="6" t="s">
        <v>154</v>
      </c>
      <c r="B138" s="7" t="s">
        <v>313</v>
      </c>
      <c r="C138" s="8">
        <v>1900.87</v>
      </c>
      <c r="D138" s="8">
        <v>284.02999999999997</v>
      </c>
      <c r="E138" s="9">
        <v>0.14942105456974999</v>
      </c>
      <c r="F138" s="10" t="s">
        <v>17</v>
      </c>
      <c r="G138" s="10" t="s">
        <v>17</v>
      </c>
    </row>
    <row r="139" spans="1:7" x14ac:dyDescent="0.25">
      <c r="A139" s="6" t="s">
        <v>155</v>
      </c>
      <c r="B139" s="7" t="s">
        <v>323</v>
      </c>
      <c r="C139" s="8">
        <v>1000.03</v>
      </c>
      <c r="D139" s="8">
        <v>1000.03</v>
      </c>
      <c r="E139" s="9">
        <v>1</v>
      </c>
      <c r="F139" s="10" t="s">
        <v>17</v>
      </c>
      <c r="G139" s="10" t="s">
        <v>17</v>
      </c>
    </row>
    <row r="140" spans="1:7" x14ac:dyDescent="0.25">
      <c r="A140" s="6" t="s">
        <v>156</v>
      </c>
      <c r="B140" s="7" t="s">
        <v>324</v>
      </c>
      <c r="C140" s="8">
        <v>506.02</v>
      </c>
      <c r="D140" s="8">
        <v>81.819999999999993</v>
      </c>
      <c r="E140" s="9">
        <v>0.16169321370696799</v>
      </c>
      <c r="F140" s="10" t="s">
        <v>17</v>
      </c>
      <c r="G140" s="10" t="s">
        <v>17</v>
      </c>
    </row>
    <row r="141" spans="1:7" x14ac:dyDescent="0.25">
      <c r="A141" s="6" t="s">
        <v>328</v>
      </c>
      <c r="B141" s="7" t="s">
        <v>318</v>
      </c>
      <c r="C141" s="8">
        <v>299.95</v>
      </c>
      <c r="D141" s="8">
        <v>299.95</v>
      </c>
      <c r="E141" s="9">
        <v>1</v>
      </c>
      <c r="F141" s="10" t="s">
        <v>17</v>
      </c>
      <c r="G141" s="10" t="s">
        <v>17</v>
      </c>
    </row>
    <row r="142" spans="1:7" x14ac:dyDescent="0.25">
      <c r="A142" s="6" t="s">
        <v>330</v>
      </c>
      <c r="B142" s="7" t="s">
        <v>319</v>
      </c>
      <c r="C142" s="8">
        <v>0</v>
      </c>
      <c r="D142" s="8">
        <v>0</v>
      </c>
      <c r="E142" s="9">
        <v>0</v>
      </c>
      <c r="F142" s="10" t="s">
        <v>17</v>
      </c>
      <c r="G142" s="10" t="s">
        <v>17</v>
      </c>
    </row>
    <row r="143" spans="1:7" x14ac:dyDescent="0.25">
      <c r="C143" s="8"/>
      <c r="D143" s="8"/>
      <c r="E143" s="9"/>
    </row>
    <row r="144" spans="1:7" x14ac:dyDescent="0.25">
      <c r="C144" s="8"/>
      <c r="D144" s="8"/>
      <c r="E144" s="9"/>
    </row>
    <row r="145" spans="1:7" x14ac:dyDescent="0.25">
      <c r="C145" s="8"/>
      <c r="D145" s="8"/>
      <c r="E145" s="9"/>
    </row>
    <row r="146" spans="1:7" x14ac:dyDescent="0.25">
      <c r="C146" s="8"/>
      <c r="D146" s="8" t="s">
        <v>298</v>
      </c>
      <c r="E146" s="9"/>
    </row>
    <row r="147" spans="1:7" ht="31.5" x14ac:dyDescent="0.25">
      <c r="A147" s="18"/>
      <c r="B147" s="19" t="s">
        <v>157</v>
      </c>
      <c r="C147" s="3" t="s">
        <v>158</v>
      </c>
      <c r="D147" s="3" t="s">
        <v>159</v>
      </c>
      <c r="E147" s="4" t="s">
        <v>160</v>
      </c>
      <c r="F147" s="5" t="s">
        <v>161</v>
      </c>
      <c r="G147" s="5" t="s">
        <v>162</v>
      </c>
    </row>
    <row r="148" spans="1:7" x14ac:dyDescent="0.25">
      <c r="A148" s="6" t="s">
        <v>18</v>
      </c>
      <c r="B148" s="7" t="s">
        <v>315</v>
      </c>
      <c r="C148" s="8">
        <v>3000403.65</v>
      </c>
      <c r="D148" s="8">
        <v>3000403.65</v>
      </c>
      <c r="E148" s="9">
        <v>1</v>
      </c>
      <c r="F148" s="10" t="s">
        <v>17</v>
      </c>
      <c r="G148" s="10" t="s">
        <v>17</v>
      </c>
    </row>
    <row r="149" spans="1:7" x14ac:dyDescent="0.25">
      <c r="A149" s="6" t="s">
        <v>19</v>
      </c>
      <c r="B149" s="7" t="s">
        <v>183</v>
      </c>
      <c r="C149" s="8">
        <v>1261709.3899999999</v>
      </c>
      <c r="D149" s="8">
        <v>203095.88</v>
      </c>
      <c r="E149" s="9">
        <v>0.16096882658533601</v>
      </c>
      <c r="F149" s="10" t="s">
        <v>17</v>
      </c>
      <c r="G149" s="10" t="s">
        <v>17</v>
      </c>
    </row>
    <row r="150" spans="1:7" x14ac:dyDescent="0.25">
      <c r="A150" s="6" t="s">
        <v>20</v>
      </c>
      <c r="B150" s="7" t="s">
        <v>165</v>
      </c>
      <c r="C150" s="8">
        <v>1126889.96</v>
      </c>
      <c r="D150" s="8">
        <v>1117505.5</v>
      </c>
      <c r="E150" s="9">
        <v>0.99167224810486398</v>
      </c>
      <c r="F150" s="10" t="s">
        <v>17</v>
      </c>
      <c r="G150" s="10" t="s">
        <v>17</v>
      </c>
    </row>
    <row r="151" spans="1:7" x14ac:dyDescent="0.25">
      <c r="A151" s="6" t="s">
        <v>21</v>
      </c>
      <c r="B151" s="7" t="s">
        <v>244</v>
      </c>
      <c r="C151" s="8">
        <v>958464.21</v>
      </c>
      <c r="D151" s="8">
        <v>751.16</v>
      </c>
      <c r="E151" s="9">
        <v>7.8371210125832496E-4</v>
      </c>
      <c r="F151" s="10" t="s">
        <v>17</v>
      </c>
      <c r="G151" s="10" t="s">
        <v>17</v>
      </c>
    </row>
    <row r="152" spans="1:7" x14ac:dyDescent="0.25">
      <c r="A152" s="6" t="s">
        <v>22</v>
      </c>
      <c r="B152" s="7" t="s">
        <v>278</v>
      </c>
      <c r="C152" s="8">
        <v>679348.56</v>
      </c>
      <c r="D152" s="8">
        <v>292105.99</v>
      </c>
      <c r="E152" s="9">
        <v>0.42997955276449001</v>
      </c>
      <c r="F152" s="10" t="s">
        <v>17</v>
      </c>
      <c r="G152" s="10" t="s">
        <v>17</v>
      </c>
    </row>
    <row r="153" spans="1:7" x14ac:dyDescent="0.25">
      <c r="A153" s="6" t="s">
        <v>23</v>
      </c>
      <c r="B153" s="7" t="s">
        <v>325</v>
      </c>
      <c r="C153" s="8">
        <v>589926.85</v>
      </c>
      <c r="D153" s="8">
        <v>589926.85</v>
      </c>
      <c r="E153" s="9">
        <v>1</v>
      </c>
      <c r="F153" s="10" t="s">
        <v>17</v>
      </c>
      <c r="G153" s="10" t="s">
        <v>17</v>
      </c>
    </row>
    <row r="154" spans="1:7" x14ac:dyDescent="0.25">
      <c r="A154" s="6" t="s">
        <v>24</v>
      </c>
      <c r="B154" s="7" t="s">
        <v>182</v>
      </c>
      <c r="C154" s="8">
        <v>516677.38</v>
      </c>
      <c r="D154" s="8">
        <v>516677.38</v>
      </c>
      <c r="E154" s="9">
        <v>1</v>
      </c>
      <c r="F154" s="10" t="s">
        <v>17</v>
      </c>
      <c r="G154" s="10" t="s">
        <v>17</v>
      </c>
    </row>
    <row r="155" spans="1:7" x14ac:dyDescent="0.25">
      <c r="A155" s="6" t="s">
        <v>25</v>
      </c>
      <c r="B155" s="7" t="s">
        <v>189</v>
      </c>
      <c r="C155" s="8">
        <v>298546.5</v>
      </c>
      <c r="D155" s="8">
        <v>298546.5</v>
      </c>
      <c r="E155" s="9">
        <v>1</v>
      </c>
      <c r="F155" s="10" t="s">
        <v>17</v>
      </c>
      <c r="G155" s="10" t="s">
        <v>17</v>
      </c>
    </row>
    <row r="156" spans="1:7" x14ac:dyDescent="0.25">
      <c r="A156" s="6" t="s">
        <v>26</v>
      </c>
      <c r="B156" s="7" t="s">
        <v>280</v>
      </c>
      <c r="C156" s="8">
        <v>211787.28</v>
      </c>
      <c r="D156" s="8">
        <v>887.74</v>
      </c>
      <c r="E156" s="9">
        <v>4.1916587247354999E-3</v>
      </c>
      <c r="F156" s="10" t="s">
        <v>17</v>
      </c>
      <c r="G156" s="10" t="s">
        <v>17</v>
      </c>
    </row>
    <row r="157" spans="1:7" x14ac:dyDescent="0.25">
      <c r="A157" s="6" t="s">
        <v>27</v>
      </c>
      <c r="B157" s="7" t="s">
        <v>173</v>
      </c>
      <c r="C157" s="8">
        <v>211784.72</v>
      </c>
      <c r="D157" s="8">
        <v>28542.28</v>
      </c>
      <c r="E157" s="9">
        <v>0.13477025160266501</v>
      </c>
      <c r="F157" s="10" t="s">
        <v>17</v>
      </c>
      <c r="G157" s="10" t="s">
        <v>17</v>
      </c>
    </row>
    <row r="158" spans="1:7" x14ac:dyDescent="0.25">
      <c r="A158" s="6" t="s">
        <v>28</v>
      </c>
      <c r="B158" s="7" t="s">
        <v>205</v>
      </c>
      <c r="C158" s="8">
        <v>205118.37</v>
      </c>
      <c r="D158" s="8">
        <v>23302.01</v>
      </c>
      <c r="E158" s="9">
        <v>0.11360274557564</v>
      </c>
      <c r="F158" s="10" t="s">
        <v>17</v>
      </c>
      <c r="G158" s="10" t="s">
        <v>17</v>
      </c>
    </row>
    <row r="159" spans="1:7" x14ac:dyDescent="0.25">
      <c r="A159" s="6" t="s">
        <v>29</v>
      </c>
      <c r="B159" s="7" t="s">
        <v>186</v>
      </c>
      <c r="C159" s="8">
        <v>202259.31</v>
      </c>
      <c r="D159" s="8">
        <v>202259.31</v>
      </c>
      <c r="E159" s="9">
        <v>1</v>
      </c>
      <c r="F159" s="10" t="s">
        <v>17</v>
      </c>
      <c r="G159" s="10" t="s">
        <v>17</v>
      </c>
    </row>
    <row r="160" spans="1:7" x14ac:dyDescent="0.25">
      <c r="A160" s="6" t="s">
        <v>30</v>
      </c>
      <c r="B160" s="7" t="s">
        <v>224</v>
      </c>
      <c r="C160" s="8">
        <v>201402.96</v>
      </c>
      <c r="D160" s="8">
        <v>201402.96</v>
      </c>
      <c r="E160" s="9">
        <v>1</v>
      </c>
      <c r="F160" s="10" t="s">
        <v>17</v>
      </c>
      <c r="G160" s="10" t="s">
        <v>17</v>
      </c>
    </row>
    <row r="161" spans="1:7" x14ac:dyDescent="0.25">
      <c r="A161" s="6" t="s">
        <v>31</v>
      </c>
      <c r="B161" s="7" t="s">
        <v>195</v>
      </c>
      <c r="C161" s="8">
        <v>169607.23</v>
      </c>
      <c r="D161" s="8">
        <v>70897.539999999994</v>
      </c>
      <c r="E161" s="9">
        <v>0.41801012845973601</v>
      </c>
      <c r="F161" s="10" t="s">
        <v>17</v>
      </c>
      <c r="G161" s="10" t="s">
        <v>17</v>
      </c>
    </row>
    <row r="162" spans="1:7" x14ac:dyDescent="0.25">
      <c r="A162" s="6" t="s">
        <v>32</v>
      </c>
      <c r="B162" s="7" t="s">
        <v>180</v>
      </c>
      <c r="C162" s="8">
        <v>155400.23000000001</v>
      </c>
      <c r="D162" s="8">
        <v>1251.26</v>
      </c>
      <c r="E162" s="9">
        <v>8.0518542347073792E-3</v>
      </c>
      <c r="F162" s="10" t="s">
        <v>17</v>
      </c>
      <c r="G162" s="10" t="s">
        <v>17</v>
      </c>
    </row>
    <row r="163" spans="1:7" x14ac:dyDescent="0.25">
      <c r="A163" s="6" t="s">
        <v>33</v>
      </c>
      <c r="B163" s="7" t="s">
        <v>163</v>
      </c>
      <c r="C163" s="8">
        <v>149609.94</v>
      </c>
      <c r="D163" s="8">
        <v>50.14</v>
      </c>
      <c r="E163" s="9">
        <v>3.3513815993776899E-4</v>
      </c>
      <c r="F163" s="10" t="s">
        <v>17</v>
      </c>
      <c r="G163" s="10" t="s">
        <v>17</v>
      </c>
    </row>
    <row r="164" spans="1:7" x14ac:dyDescent="0.25">
      <c r="A164" s="6" t="s">
        <v>34</v>
      </c>
      <c r="B164" s="7" t="s">
        <v>211</v>
      </c>
      <c r="C164" s="8">
        <v>141654.42000000001</v>
      </c>
      <c r="D164" s="8">
        <v>12369.58</v>
      </c>
      <c r="E164" s="9">
        <v>8.7322231102989895E-2</v>
      </c>
      <c r="F164" s="10" t="s">
        <v>17</v>
      </c>
      <c r="G164" s="10" t="s">
        <v>17</v>
      </c>
    </row>
    <row r="165" spans="1:7" x14ac:dyDescent="0.25">
      <c r="A165" s="6" t="s">
        <v>35</v>
      </c>
      <c r="B165" s="7" t="s">
        <v>254</v>
      </c>
      <c r="C165" s="8">
        <v>138530.97</v>
      </c>
      <c r="D165" s="8">
        <v>16541.189999999999</v>
      </c>
      <c r="E165" s="9">
        <v>0.119404274726438</v>
      </c>
      <c r="F165" s="10" t="s">
        <v>17</v>
      </c>
      <c r="G165" s="10" t="s">
        <v>17</v>
      </c>
    </row>
    <row r="166" spans="1:7" x14ac:dyDescent="0.25">
      <c r="A166" s="6" t="s">
        <v>36</v>
      </c>
      <c r="B166" s="7" t="s">
        <v>279</v>
      </c>
      <c r="C166" s="8">
        <v>134912.01999999999</v>
      </c>
      <c r="D166" s="8">
        <v>134912.01999999999</v>
      </c>
      <c r="E166" s="9">
        <v>1</v>
      </c>
      <c r="F166" s="10" t="s">
        <v>17</v>
      </c>
      <c r="G166" s="10" t="s">
        <v>17</v>
      </c>
    </row>
    <row r="167" spans="1:7" x14ac:dyDescent="0.25">
      <c r="A167" s="6" t="s">
        <v>37</v>
      </c>
      <c r="B167" s="7" t="s">
        <v>187</v>
      </c>
      <c r="C167" s="8">
        <v>131170.5</v>
      </c>
      <c r="D167" s="8">
        <v>131170.5</v>
      </c>
      <c r="E167" s="9">
        <v>1</v>
      </c>
      <c r="F167" s="10" t="s">
        <v>17</v>
      </c>
      <c r="G167" s="10" t="s">
        <v>17</v>
      </c>
    </row>
    <row r="168" spans="1:7" x14ac:dyDescent="0.25">
      <c r="A168" s="6" t="s">
        <v>38</v>
      </c>
      <c r="B168" s="7" t="s">
        <v>303</v>
      </c>
      <c r="C168" s="8">
        <v>121009.84</v>
      </c>
      <c r="D168" s="8">
        <v>121009.84</v>
      </c>
      <c r="E168" s="9">
        <v>1</v>
      </c>
      <c r="F168" s="10" t="s">
        <v>17</v>
      </c>
      <c r="G168" s="10" t="s">
        <v>17</v>
      </c>
    </row>
    <row r="169" spans="1:7" x14ac:dyDescent="0.25">
      <c r="A169" s="6" t="s">
        <v>39</v>
      </c>
      <c r="B169" s="7" t="s">
        <v>215</v>
      </c>
      <c r="C169" s="8">
        <v>118322.74</v>
      </c>
      <c r="D169" s="8">
        <v>1514.67</v>
      </c>
      <c r="E169" s="9">
        <v>1.28011741445474E-2</v>
      </c>
      <c r="F169" s="10" t="s">
        <v>17</v>
      </c>
      <c r="G169" s="10" t="s">
        <v>17</v>
      </c>
    </row>
    <row r="170" spans="1:7" x14ac:dyDescent="0.25">
      <c r="A170" s="6" t="s">
        <v>40</v>
      </c>
      <c r="B170" s="7" t="s">
        <v>308</v>
      </c>
      <c r="C170" s="8">
        <v>98139.8122</v>
      </c>
      <c r="D170" s="8">
        <v>2017.21</v>
      </c>
      <c r="E170" s="9">
        <v>2.0554451397248499E-2</v>
      </c>
      <c r="F170" s="10" t="s">
        <v>17</v>
      </c>
      <c r="G170" s="10" t="s">
        <v>17</v>
      </c>
    </row>
    <row r="171" spans="1:7" x14ac:dyDescent="0.25">
      <c r="A171" s="6" t="s">
        <v>41</v>
      </c>
      <c r="B171" s="7" t="s">
        <v>294</v>
      </c>
      <c r="C171" s="8">
        <v>82896.47</v>
      </c>
      <c r="D171" s="8">
        <v>46133.43</v>
      </c>
      <c r="E171" s="9">
        <v>0.55651863101046395</v>
      </c>
      <c r="F171" s="10" t="s">
        <v>17</v>
      </c>
      <c r="G171" s="10" t="s">
        <v>17</v>
      </c>
    </row>
    <row r="172" spans="1:7" x14ac:dyDescent="0.25">
      <c r="A172" s="6" t="s">
        <v>42</v>
      </c>
      <c r="B172" s="7" t="s">
        <v>184</v>
      </c>
      <c r="C172" s="8">
        <v>80133.7</v>
      </c>
      <c r="D172" s="8">
        <v>80133.7</v>
      </c>
      <c r="E172" s="9">
        <v>1</v>
      </c>
      <c r="F172" s="10" t="s">
        <v>17</v>
      </c>
      <c r="G172" s="10" t="s">
        <v>17</v>
      </c>
    </row>
    <row r="173" spans="1:7" x14ac:dyDescent="0.25">
      <c r="A173" s="6" t="s">
        <v>43</v>
      </c>
      <c r="B173" s="7" t="s">
        <v>280</v>
      </c>
      <c r="C173" s="8">
        <v>74893.460000000006</v>
      </c>
      <c r="D173" s="8">
        <v>1204.81</v>
      </c>
      <c r="E173" s="9">
        <v>1.6086985432372899E-2</v>
      </c>
      <c r="F173" s="10" t="s">
        <v>17</v>
      </c>
      <c r="G173" s="10" t="s">
        <v>17</v>
      </c>
    </row>
    <row r="174" spans="1:7" x14ac:dyDescent="0.25">
      <c r="A174" s="6" t="s">
        <v>44</v>
      </c>
      <c r="B174" s="7" t="s">
        <v>284</v>
      </c>
      <c r="C174" s="8">
        <v>57954.97</v>
      </c>
      <c r="D174" s="8">
        <v>11230.42</v>
      </c>
      <c r="E174" s="9">
        <v>0.193778376556834</v>
      </c>
      <c r="F174" s="10" t="s">
        <v>17</v>
      </c>
      <c r="G174" s="10" t="s">
        <v>17</v>
      </c>
    </row>
    <row r="175" spans="1:7" x14ac:dyDescent="0.25">
      <c r="A175" s="6" t="s">
        <v>45</v>
      </c>
      <c r="B175" s="7" t="s">
        <v>175</v>
      </c>
      <c r="C175" s="8">
        <v>57343.67</v>
      </c>
      <c r="D175" s="8">
        <v>57343.67</v>
      </c>
      <c r="E175" s="9">
        <v>1</v>
      </c>
      <c r="F175" s="10" t="s">
        <v>17</v>
      </c>
      <c r="G175" s="10" t="s">
        <v>17</v>
      </c>
    </row>
    <row r="176" spans="1:7" x14ac:dyDescent="0.25">
      <c r="A176" s="6" t="s">
        <v>46</v>
      </c>
      <c r="B176" s="7" t="s">
        <v>227</v>
      </c>
      <c r="C176" s="8">
        <v>50060.62</v>
      </c>
      <c r="D176" s="8">
        <v>50060.62</v>
      </c>
      <c r="E176" s="9">
        <v>1</v>
      </c>
      <c r="F176" s="10" t="s">
        <v>17</v>
      </c>
      <c r="G176" s="10" t="s">
        <v>17</v>
      </c>
    </row>
    <row r="177" spans="1:7" x14ac:dyDescent="0.25">
      <c r="A177" s="6" t="s">
        <v>47</v>
      </c>
      <c r="B177" s="7" t="s">
        <v>248</v>
      </c>
      <c r="C177" s="8">
        <v>37315.65</v>
      </c>
      <c r="D177" s="8">
        <v>37315.65</v>
      </c>
      <c r="E177" s="9">
        <v>1</v>
      </c>
      <c r="F177" s="10" t="s">
        <v>17</v>
      </c>
      <c r="G177" s="10" t="s">
        <v>17</v>
      </c>
    </row>
    <row r="178" spans="1:7" x14ac:dyDescent="0.25">
      <c r="A178" s="6" t="s">
        <v>48</v>
      </c>
      <c r="B178" s="7" t="s">
        <v>261</v>
      </c>
      <c r="C178" s="8">
        <v>35447.629999999997</v>
      </c>
      <c r="D178" s="8">
        <v>9833.89</v>
      </c>
      <c r="E178" s="9">
        <v>0.27742023937848598</v>
      </c>
      <c r="F178" s="10" t="s">
        <v>17</v>
      </c>
      <c r="G178" s="10" t="s">
        <v>17</v>
      </c>
    </row>
    <row r="179" spans="1:7" x14ac:dyDescent="0.25">
      <c r="A179" s="6" t="s">
        <v>49</v>
      </c>
      <c r="B179" s="7" t="s">
        <v>190</v>
      </c>
      <c r="C179" s="8">
        <v>33619.07</v>
      </c>
      <c r="D179" s="8">
        <v>33619.07</v>
      </c>
      <c r="E179" s="9">
        <v>1</v>
      </c>
      <c r="F179" s="10" t="s">
        <v>17</v>
      </c>
      <c r="G179" s="10" t="s">
        <v>17</v>
      </c>
    </row>
    <row r="180" spans="1:7" x14ac:dyDescent="0.25">
      <c r="A180" s="6" t="s">
        <v>50</v>
      </c>
      <c r="B180" s="7" t="s">
        <v>220</v>
      </c>
      <c r="C180" s="8">
        <v>20872.810000000001</v>
      </c>
      <c r="D180" s="8">
        <v>20872.810000000001</v>
      </c>
      <c r="E180" s="9">
        <v>1</v>
      </c>
      <c r="F180" s="10" t="s">
        <v>17</v>
      </c>
      <c r="G180" s="10" t="s">
        <v>17</v>
      </c>
    </row>
    <row r="181" spans="1:7" x14ac:dyDescent="0.25">
      <c r="A181" s="6" t="s">
        <v>51</v>
      </c>
      <c r="B181" s="7" t="s">
        <v>285</v>
      </c>
      <c r="C181" s="8">
        <v>20002.599999999999</v>
      </c>
      <c r="D181" s="8">
        <v>20002.599999999999</v>
      </c>
      <c r="E181" s="9">
        <v>1</v>
      </c>
      <c r="F181" s="10" t="s">
        <v>17</v>
      </c>
      <c r="G181" s="10" t="s">
        <v>17</v>
      </c>
    </row>
    <row r="182" spans="1:7" x14ac:dyDescent="0.25">
      <c r="A182" s="6" t="s">
        <v>52</v>
      </c>
      <c r="B182" s="7" t="s">
        <v>287</v>
      </c>
      <c r="C182" s="8">
        <v>11672.87</v>
      </c>
      <c r="D182" s="8">
        <v>485.43</v>
      </c>
      <c r="E182" s="9">
        <v>4.1586173751613803E-2</v>
      </c>
      <c r="F182" s="10" t="s">
        <v>17</v>
      </c>
      <c r="G182" s="10" t="s">
        <v>17</v>
      </c>
    </row>
    <row r="183" spans="1:7" x14ac:dyDescent="0.25">
      <c r="A183" s="6" t="s">
        <v>53</v>
      </c>
      <c r="B183" s="7" t="s">
        <v>238</v>
      </c>
      <c r="C183" s="8">
        <v>6091.14</v>
      </c>
      <c r="D183" s="8">
        <v>66.16</v>
      </c>
      <c r="E183" s="9">
        <v>1.0861677781170699E-2</v>
      </c>
      <c r="F183" s="10" t="s">
        <v>17</v>
      </c>
      <c r="G183" s="10" t="s">
        <v>17</v>
      </c>
    </row>
    <row r="184" spans="1:7" x14ac:dyDescent="0.25">
      <c r="A184" s="6" t="s">
        <v>54</v>
      </c>
      <c r="B184" s="7" t="s">
        <v>261</v>
      </c>
      <c r="C184" s="8">
        <v>5505.81</v>
      </c>
      <c r="D184" s="8">
        <v>5505.81</v>
      </c>
      <c r="E184" s="9">
        <v>1</v>
      </c>
      <c r="F184" s="10" t="s">
        <v>17</v>
      </c>
      <c r="G184" s="10" t="s">
        <v>17</v>
      </c>
    </row>
    <row r="185" spans="1:7" x14ac:dyDescent="0.25">
      <c r="A185" s="6" t="s">
        <v>55</v>
      </c>
      <c r="B185" s="7" t="s">
        <v>288</v>
      </c>
      <c r="C185" s="8">
        <v>4934.83</v>
      </c>
      <c r="D185" s="8">
        <v>948.18</v>
      </c>
      <c r="E185" s="9">
        <v>0.192140357418594</v>
      </c>
      <c r="F185" s="10" t="s">
        <v>17</v>
      </c>
      <c r="G185" s="10" t="s">
        <v>17</v>
      </c>
    </row>
    <row r="186" spans="1:7" x14ac:dyDescent="0.25">
      <c r="A186" s="6" t="s">
        <v>56</v>
      </c>
      <c r="B186" s="7" t="s">
        <v>326</v>
      </c>
      <c r="C186" s="8">
        <v>2496.71</v>
      </c>
      <c r="D186" s="8">
        <v>2496.71</v>
      </c>
      <c r="E186" s="9">
        <v>1</v>
      </c>
      <c r="F186" s="10" t="s">
        <v>17</v>
      </c>
      <c r="G186" s="10" t="s">
        <v>17</v>
      </c>
    </row>
    <row r="187" spans="1:7" x14ac:dyDescent="0.25">
      <c r="A187" s="6" t="s">
        <v>57</v>
      </c>
      <c r="B187" s="7" t="s">
        <v>305</v>
      </c>
      <c r="C187" s="8">
        <v>1758.53</v>
      </c>
      <c r="D187" s="8">
        <v>1758.53</v>
      </c>
      <c r="E187" s="9">
        <v>1</v>
      </c>
      <c r="F187" s="10" t="s">
        <v>17</v>
      </c>
      <c r="G187" s="10" t="s">
        <v>17</v>
      </c>
    </row>
    <row r="188" spans="1:7" x14ac:dyDescent="0.25">
      <c r="A188" s="6" t="s">
        <v>58</v>
      </c>
      <c r="B188" s="7" t="s">
        <v>202</v>
      </c>
      <c r="C188" s="8">
        <v>1554.11</v>
      </c>
      <c r="D188" s="8">
        <v>19.43</v>
      </c>
      <c r="E188" s="9">
        <v>1.25023325247248E-2</v>
      </c>
      <c r="F188" s="10" t="s">
        <v>17</v>
      </c>
      <c r="G188" s="10" t="s">
        <v>17</v>
      </c>
    </row>
    <row r="189" spans="1:7" x14ac:dyDescent="0.25">
      <c r="A189" s="6" t="s">
        <v>59</v>
      </c>
      <c r="B189" s="7" t="s">
        <v>289</v>
      </c>
      <c r="C189" s="8">
        <v>1252.8499999999999</v>
      </c>
      <c r="D189" s="8">
        <v>54.98</v>
      </c>
      <c r="E189" s="9">
        <v>4.3883944606297597E-2</v>
      </c>
      <c r="F189" s="10" t="s">
        <v>17</v>
      </c>
      <c r="G189" s="10" t="s">
        <v>17</v>
      </c>
    </row>
    <row r="190" spans="1:7" x14ac:dyDescent="0.25">
      <c r="A190" s="6" t="s">
        <v>60</v>
      </c>
      <c r="B190" s="7" t="s">
        <v>327</v>
      </c>
      <c r="C190" s="8">
        <v>1150.43</v>
      </c>
      <c r="D190" s="8">
        <v>1150.43</v>
      </c>
      <c r="E190" s="9">
        <v>1</v>
      </c>
      <c r="F190" s="10" t="s">
        <v>17</v>
      </c>
      <c r="G190" s="10" t="s">
        <v>17</v>
      </c>
    </row>
    <row r="191" spans="1:7" x14ac:dyDescent="0.25">
      <c r="A191" s="6" t="s">
        <v>61</v>
      </c>
      <c r="B191" s="7" t="s">
        <v>314</v>
      </c>
      <c r="C191" s="8">
        <v>1000.43</v>
      </c>
      <c r="D191" s="8">
        <v>1000.43</v>
      </c>
      <c r="E191" s="9">
        <v>1</v>
      </c>
      <c r="F191" s="10" t="s">
        <v>17</v>
      </c>
      <c r="G191" s="10" t="s">
        <v>17</v>
      </c>
    </row>
    <row r="192" spans="1:7" x14ac:dyDescent="0.25">
      <c r="A192" s="6" t="s">
        <v>62</v>
      </c>
      <c r="B192" s="7" t="s">
        <v>210</v>
      </c>
      <c r="C192" s="8">
        <v>972.3</v>
      </c>
      <c r="D192" s="8">
        <v>0</v>
      </c>
      <c r="E192" s="9">
        <v>0</v>
      </c>
      <c r="F192" s="10" t="s">
        <v>17</v>
      </c>
      <c r="G192" s="10" t="s">
        <v>17</v>
      </c>
    </row>
    <row r="193" spans="1:7" x14ac:dyDescent="0.25">
      <c r="A193" s="6" t="s">
        <v>63</v>
      </c>
      <c r="B193" s="7" t="s">
        <v>295</v>
      </c>
      <c r="C193" s="8">
        <v>901.88</v>
      </c>
      <c r="D193" s="8">
        <v>901.88</v>
      </c>
      <c r="E193" s="9">
        <v>1</v>
      </c>
      <c r="F193" s="10" t="s">
        <v>17</v>
      </c>
      <c r="G193" s="10" t="s">
        <v>17</v>
      </c>
    </row>
    <row r="194" spans="1:7" x14ac:dyDescent="0.25">
      <c r="A194" s="6" t="s">
        <v>64</v>
      </c>
      <c r="B194" s="7" t="s">
        <v>290</v>
      </c>
      <c r="C194" s="8">
        <v>630.70000000000005</v>
      </c>
      <c r="D194" s="8">
        <v>89.51</v>
      </c>
      <c r="E194" s="9">
        <v>0.14192167433010899</v>
      </c>
      <c r="F194" s="10" t="s">
        <v>17</v>
      </c>
      <c r="G194" s="10" t="s">
        <v>17</v>
      </c>
    </row>
    <row r="195" spans="1:7" x14ac:dyDescent="0.25">
      <c r="A195" s="6" t="s">
        <v>65</v>
      </c>
      <c r="B195" s="7" t="s">
        <v>204</v>
      </c>
      <c r="C195" s="8">
        <v>21.6</v>
      </c>
      <c r="D195" s="8">
        <v>21.6</v>
      </c>
      <c r="E195" s="9">
        <v>1</v>
      </c>
      <c r="F195" s="10" t="s">
        <v>17</v>
      </c>
      <c r="G195" s="10" t="s">
        <v>17</v>
      </c>
    </row>
    <row r="196" spans="1:7" x14ac:dyDescent="0.25">
      <c r="A196" s="6" t="s">
        <v>66</v>
      </c>
      <c r="B196" s="7" t="s">
        <v>271</v>
      </c>
      <c r="C196" s="8">
        <v>20.07</v>
      </c>
      <c r="D196" s="8">
        <v>20.07</v>
      </c>
      <c r="E196" s="9">
        <v>1</v>
      </c>
      <c r="F196" s="10" t="s">
        <v>17</v>
      </c>
      <c r="G196" s="10" t="s">
        <v>17</v>
      </c>
    </row>
    <row r="197" spans="1:7" x14ac:dyDescent="0.25">
      <c r="A197" s="6" t="s">
        <v>67</v>
      </c>
      <c r="B197" s="7" t="s">
        <v>297</v>
      </c>
      <c r="C197" s="8">
        <v>6.87</v>
      </c>
      <c r="D197" s="8">
        <v>6.87</v>
      </c>
      <c r="E197" s="9">
        <v>1</v>
      </c>
      <c r="F197" s="10" t="s">
        <v>17</v>
      </c>
      <c r="G197" s="10" t="s">
        <v>17</v>
      </c>
    </row>
    <row r="198" spans="1:7" x14ac:dyDescent="0.25">
      <c r="A198" s="6" t="s">
        <v>68</v>
      </c>
      <c r="B198" s="7" t="s">
        <v>296</v>
      </c>
      <c r="C198" s="8">
        <v>3.17</v>
      </c>
      <c r="D198" s="8">
        <v>3.17</v>
      </c>
      <c r="E198" s="9">
        <v>1</v>
      </c>
      <c r="F198" s="10" t="s">
        <v>17</v>
      </c>
      <c r="G198" s="10" t="s">
        <v>17</v>
      </c>
    </row>
    <row r="199" spans="1:7" x14ac:dyDescent="0.25">
      <c r="A199" s="6" t="s">
        <v>69</v>
      </c>
      <c r="B199" s="7" t="s">
        <v>281</v>
      </c>
      <c r="C199" s="8">
        <v>0.33</v>
      </c>
      <c r="D199" s="8">
        <v>0.33</v>
      </c>
      <c r="E199" s="9">
        <v>1</v>
      </c>
      <c r="F199" s="10" t="s">
        <v>17</v>
      </c>
      <c r="G199" s="10" t="s">
        <v>17</v>
      </c>
    </row>
    <row r="200" spans="1:7" x14ac:dyDescent="0.25">
      <c r="A200" s="6" t="s">
        <v>70</v>
      </c>
      <c r="B200" s="7" t="s">
        <v>221</v>
      </c>
      <c r="C200" s="8">
        <v>0.06</v>
      </c>
      <c r="D200" s="8">
        <v>0.06</v>
      </c>
      <c r="E200" s="9">
        <v>1</v>
      </c>
      <c r="F200" s="10" t="s">
        <v>17</v>
      </c>
      <c r="G200" s="10" t="s">
        <v>17</v>
      </c>
    </row>
    <row r="201" spans="1:7" x14ac:dyDescent="0.25">
      <c r="A201" s="6" t="s">
        <v>71</v>
      </c>
      <c r="B201" s="7" t="s">
        <v>164</v>
      </c>
      <c r="C201" s="8">
        <v>0.03</v>
      </c>
      <c r="D201" s="8">
        <v>0.03</v>
      </c>
      <c r="E201" s="9">
        <v>1</v>
      </c>
      <c r="F201" s="10" t="s">
        <v>17</v>
      </c>
      <c r="G201" s="10" t="s">
        <v>17</v>
      </c>
    </row>
    <row r="202" spans="1:7" x14ac:dyDescent="0.25">
      <c r="A202" s="6" t="s">
        <v>72</v>
      </c>
      <c r="B202" s="7" t="s">
        <v>230</v>
      </c>
      <c r="C202" s="8">
        <v>0.01</v>
      </c>
      <c r="D202" s="8">
        <v>0.01</v>
      </c>
      <c r="E202" s="9">
        <v>1</v>
      </c>
      <c r="F202" s="10" t="s">
        <v>17</v>
      </c>
      <c r="G202" s="10" t="s">
        <v>17</v>
      </c>
    </row>
    <row r="203" spans="1:7" x14ac:dyDescent="0.25">
      <c r="A203" s="6" t="s">
        <v>73</v>
      </c>
      <c r="B203" s="7" t="s">
        <v>208</v>
      </c>
      <c r="C203" s="8">
        <v>0.01</v>
      </c>
      <c r="D203" s="8">
        <v>0.01</v>
      </c>
      <c r="E203" s="9">
        <v>1</v>
      </c>
      <c r="F203" s="10" t="s">
        <v>17</v>
      </c>
      <c r="G203" s="10" t="s">
        <v>17</v>
      </c>
    </row>
    <row r="204" spans="1:7" x14ac:dyDescent="0.25">
      <c r="A204" s="6" t="s">
        <v>74</v>
      </c>
      <c r="B204" s="7" t="s">
        <v>286</v>
      </c>
      <c r="C204" s="8">
        <v>0</v>
      </c>
      <c r="D204" s="8">
        <v>0</v>
      </c>
      <c r="E204" s="9">
        <v>0</v>
      </c>
      <c r="F204" s="10" t="s">
        <v>17</v>
      </c>
      <c r="G204" s="10" t="s">
        <v>17</v>
      </c>
    </row>
    <row r="205" spans="1:7" x14ac:dyDescent="0.25">
      <c r="A205" s="6" t="s">
        <v>75</v>
      </c>
      <c r="B205" s="7" t="s">
        <v>219</v>
      </c>
      <c r="C205" s="8">
        <v>0</v>
      </c>
      <c r="D205" s="8">
        <v>0</v>
      </c>
      <c r="E205" s="9">
        <v>0</v>
      </c>
      <c r="F205" s="10" t="s">
        <v>17</v>
      </c>
      <c r="G205" s="10" t="s">
        <v>17</v>
      </c>
    </row>
    <row r="206" spans="1:7" x14ac:dyDescent="0.25">
      <c r="A206" s="6" t="s">
        <v>76</v>
      </c>
      <c r="B206" s="7" t="s">
        <v>262</v>
      </c>
      <c r="C206" s="8">
        <v>0</v>
      </c>
      <c r="D206" s="8">
        <v>0</v>
      </c>
      <c r="E206" s="9">
        <v>0</v>
      </c>
      <c r="F206" s="10" t="s">
        <v>17</v>
      </c>
      <c r="G206" s="10" t="s">
        <v>17</v>
      </c>
    </row>
    <row r="207" spans="1:7" x14ac:dyDescent="0.25">
      <c r="A207" s="6" t="s">
        <v>77</v>
      </c>
      <c r="B207" s="7" t="s">
        <v>282</v>
      </c>
      <c r="C207" s="8">
        <v>0</v>
      </c>
      <c r="D207" s="8">
        <v>0</v>
      </c>
      <c r="E207" s="9">
        <v>0</v>
      </c>
      <c r="F207" s="10" t="s">
        <v>17</v>
      </c>
      <c r="G207" s="10" t="s">
        <v>17</v>
      </c>
    </row>
    <row r="208" spans="1:7" x14ac:dyDescent="0.25">
      <c r="A208" s="6" t="s">
        <v>78</v>
      </c>
      <c r="B208" s="7" t="s">
        <v>229</v>
      </c>
      <c r="C208" s="8">
        <v>0</v>
      </c>
      <c r="D208" s="8">
        <v>0</v>
      </c>
      <c r="E208" s="9">
        <v>0</v>
      </c>
      <c r="F208" s="10" t="s">
        <v>17</v>
      </c>
      <c r="G208" s="10" t="s">
        <v>17</v>
      </c>
    </row>
    <row r="209" spans="2:5" x14ac:dyDescent="0.25">
      <c r="C209" s="8"/>
      <c r="D209" s="8"/>
      <c r="E209" s="9"/>
    </row>
    <row r="214" spans="2:5" x14ac:dyDescent="0.25">
      <c r="B214" s="20" t="s">
        <v>273</v>
      </c>
      <c r="C214" s="21">
        <f>SUM(C2:C146)</f>
        <v>91368612.36149998</v>
      </c>
      <c r="D214" s="21">
        <f>SUM(D2:D146)</f>
        <v>26423862.550000019</v>
      </c>
      <c r="E214" s="22">
        <f>(D214 / C214)</f>
        <v>0.2892006550942679</v>
      </c>
    </row>
    <row r="218" spans="2:5" x14ac:dyDescent="0.25">
      <c r="B218" s="20" t="s">
        <v>272</v>
      </c>
      <c r="C218" s="21">
        <f>SUM(C147:C212)</f>
        <v>11413192.232200002</v>
      </c>
      <c r="D218" s="21">
        <f>SUM(D147:D212)</f>
        <v>7349421.4599999953</v>
      </c>
      <c r="E218" s="22">
        <f>(D218 / C218)</f>
        <v>0.64394091595733371</v>
      </c>
    </row>
    <row r="222" spans="2:5" x14ac:dyDescent="0.25">
      <c r="B222" s="20" t="s">
        <v>274</v>
      </c>
      <c r="C222" s="21">
        <f>SUM(C2:C218) / 2</f>
        <v>102781804.59369998</v>
      </c>
      <c r="D222" s="21">
        <f>SUM(D2:D218) / 2</f>
        <v>33773284.010000013</v>
      </c>
      <c r="E222" s="22">
        <f>(D222 / C222)</f>
        <v>0.32859205132179736</v>
      </c>
    </row>
  </sheetData>
  <pageMargins left="0.7" right="0.7" top="0.75" bottom="0.75" header="0.3" footer="0.3"/>
  <pageSetup orientation="landscape" r:id="rId1"/>
  <headerFooter>
    <oddHeader>&amp;R&amp;B&amp;12As of &amp;D&amp;C&amp;B&amp;12Sunset West Daily Cash Percentage Report</oddHeader>
    <oddFooter>&amp;C&amp;B&amp;12&amp;P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AD91D-3148-4744-B82B-261AD837F1B4}">
  <dimension ref="A1:G222"/>
  <sheetViews>
    <sheetView workbookViewId="0">
      <selection sqref="A1:XFD1048576"/>
    </sheetView>
  </sheetViews>
  <sheetFormatPr defaultRowHeight="15.75" x14ac:dyDescent="0.25"/>
  <cols>
    <col min="1" max="1" width="5" style="10" bestFit="1" customWidth="1"/>
    <col min="2" max="2" width="26.28515625" style="7" customWidth="1"/>
    <col min="3" max="3" width="15.140625" style="10" customWidth="1"/>
    <col min="4" max="4" width="14" style="10" customWidth="1"/>
    <col min="5" max="5" width="9.140625" style="10"/>
    <col min="6" max="6" width="9.7109375" style="10" customWidth="1"/>
    <col min="7" max="7" width="10.42578125" style="10" customWidth="1"/>
    <col min="8" max="16384" width="9.140625" style="1"/>
  </cols>
  <sheetData>
    <row r="1" spans="1:7" ht="31.5" x14ac:dyDescent="0.25">
      <c r="A1" s="18"/>
      <c r="B1" s="2" t="s">
        <v>157</v>
      </c>
      <c r="C1" s="3" t="s">
        <v>158</v>
      </c>
      <c r="D1" s="3" t="s">
        <v>159</v>
      </c>
      <c r="E1" s="4" t="s">
        <v>160</v>
      </c>
      <c r="F1" s="5" t="s">
        <v>161</v>
      </c>
      <c r="G1" s="5" t="s">
        <v>162</v>
      </c>
    </row>
    <row r="2" spans="1:7" x14ac:dyDescent="0.25">
      <c r="A2" s="6" t="s">
        <v>18</v>
      </c>
      <c r="B2" s="7" t="s">
        <v>163</v>
      </c>
      <c r="C2" s="8">
        <v>5062043.13</v>
      </c>
      <c r="D2" s="8">
        <v>1071666.6399999999</v>
      </c>
      <c r="E2" s="9">
        <v>0.21170634316582801</v>
      </c>
      <c r="F2" s="10" t="s">
        <v>0</v>
      </c>
      <c r="G2" s="11">
        <f>(D2 / F2)</f>
        <v>79.382714074074073</v>
      </c>
    </row>
    <row r="3" spans="1:7" x14ac:dyDescent="0.25">
      <c r="A3" s="6" t="s">
        <v>19</v>
      </c>
      <c r="B3" s="7" t="s">
        <v>297</v>
      </c>
      <c r="C3" s="8">
        <v>4926534.93</v>
      </c>
      <c r="D3" s="8">
        <v>4379128.05</v>
      </c>
      <c r="E3" s="9">
        <v>0.88888602480689205</v>
      </c>
      <c r="F3" s="10" t="s">
        <v>17</v>
      </c>
      <c r="G3" s="10" t="s">
        <v>17</v>
      </c>
    </row>
    <row r="4" spans="1:7" x14ac:dyDescent="0.25">
      <c r="A4" s="6" t="s">
        <v>20</v>
      </c>
      <c r="B4" s="7" t="s">
        <v>168</v>
      </c>
      <c r="C4" s="8">
        <v>4303855.5199999996</v>
      </c>
      <c r="D4" s="8">
        <v>1256766.6499999999</v>
      </c>
      <c r="E4" s="9">
        <v>0.2920094887386</v>
      </c>
      <c r="F4" s="10" t="s">
        <v>17</v>
      </c>
      <c r="G4" s="10" t="s">
        <v>17</v>
      </c>
    </row>
    <row r="5" spans="1:7" x14ac:dyDescent="0.25">
      <c r="A5" s="6" t="s">
        <v>21</v>
      </c>
      <c r="B5" s="7" t="s">
        <v>165</v>
      </c>
      <c r="C5" s="8">
        <v>3354978.5973</v>
      </c>
      <c r="D5" s="8">
        <v>724238.66</v>
      </c>
      <c r="E5" s="9">
        <v>0.21586983016310399</v>
      </c>
      <c r="F5" s="10" t="s">
        <v>17</v>
      </c>
      <c r="G5" s="10" t="s">
        <v>17</v>
      </c>
    </row>
    <row r="6" spans="1:7" x14ac:dyDescent="0.25">
      <c r="A6" s="6" t="s">
        <v>22</v>
      </c>
      <c r="B6" s="7" t="s">
        <v>166</v>
      </c>
      <c r="C6" s="8">
        <v>2984870.89</v>
      </c>
      <c r="D6" s="8">
        <v>534484.32999999996</v>
      </c>
      <c r="E6" s="9">
        <v>0.17906447203148501</v>
      </c>
      <c r="F6" s="10" t="s">
        <v>17</v>
      </c>
      <c r="G6" s="10" t="s">
        <v>17</v>
      </c>
    </row>
    <row r="7" spans="1:7" x14ac:dyDescent="0.25">
      <c r="A7" s="6" t="s">
        <v>23</v>
      </c>
      <c r="B7" s="7" t="s">
        <v>164</v>
      </c>
      <c r="C7" s="8">
        <v>2956641.08</v>
      </c>
      <c r="D7" s="8">
        <v>557692.53</v>
      </c>
      <c r="E7" s="9">
        <v>0.18862368306131999</v>
      </c>
      <c r="F7" s="10" t="s">
        <v>1</v>
      </c>
      <c r="G7" s="11">
        <f>(D7 / F7)</f>
        <v>60.421725893824487</v>
      </c>
    </row>
    <row r="8" spans="1:7" x14ac:dyDescent="0.25">
      <c r="A8" s="6" t="s">
        <v>24</v>
      </c>
      <c r="B8" s="7" t="s">
        <v>167</v>
      </c>
      <c r="C8" s="8">
        <v>2587048.46</v>
      </c>
      <c r="D8" s="8">
        <v>1115642.75</v>
      </c>
      <c r="E8" s="9">
        <v>0.431241535382758</v>
      </c>
      <c r="F8" s="10" t="s">
        <v>2</v>
      </c>
      <c r="G8" s="11">
        <f>(D8 / F8)</f>
        <v>434.44032320872276</v>
      </c>
    </row>
    <row r="9" spans="1:7" x14ac:dyDescent="0.25">
      <c r="A9" s="6" t="s">
        <v>25</v>
      </c>
      <c r="B9" s="7" t="s">
        <v>169</v>
      </c>
      <c r="C9" s="8">
        <v>2285500.54</v>
      </c>
      <c r="D9" s="8">
        <v>391345.34</v>
      </c>
      <c r="E9" s="9">
        <v>0.171229598571873</v>
      </c>
      <c r="F9" s="10" t="s">
        <v>293</v>
      </c>
      <c r="G9" s="11">
        <f>(D9 / F9)</f>
        <v>41.194246315789478</v>
      </c>
    </row>
    <row r="10" spans="1:7" x14ac:dyDescent="0.25">
      <c r="A10" s="6" t="s">
        <v>26</v>
      </c>
      <c r="B10" s="7" t="s">
        <v>170</v>
      </c>
      <c r="C10" s="8">
        <v>2128198.2599999998</v>
      </c>
      <c r="D10" s="8">
        <v>319263.37</v>
      </c>
      <c r="E10" s="9">
        <v>0.15001580256907099</v>
      </c>
      <c r="F10" s="10" t="s">
        <v>3</v>
      </c>
      <c r="G10" s="11">
        <f>(D10 / F10)</f>
        <v>39.907921250000001</v>
      </c>
    </row>
    <row r="11" spans="1:7" x14ac:dyDescent="0.25">
      <c r="A11" s="6" t="s">
        <v>27</v>
      </c>
      <c r="B11" s="7" t="s">
        <v>171</v>
      </c>
      <c r="C11" s="8">
        <v>2017267.01</v>
      </c>
      <c r="D11" s="8">
        <v>312331.53999999998</v>
      </c>
      <c r="E11" s="9">
        <v>0.154829052600231</v>
      </c>
      <c r="F11" s="10" t="s">
        <v>17</v>
      </c>
      <c r="G11" s="10" t="s">
        <v>17</v>
      </c>
    </row>
    <row r="12" spans="1:7" x14ac:dyDescent="0.25">
      <c r="A12" s="6" t="s">
        <v>28</v>
      </c>
      <c r="B12" s="7" t="s">
        <v>316</v>
      </c>
      <c r="C12" s="8">
        <v>1968113.8363000001</v>
      </c>
      <c r="D12" s="8">
        <v>991186.21</v>
      </c>
      <c r="E12" s="9">
        <v>0.50362239811463505</v>
      </c>
      <c r="F12" s="10" t="s">
        <v>17</v>
      </c>
      <c r="G12" s="10" t="s">
        <v>17</v>
      </c>
    </row>
    <row r="13" spans="1:7" x14ac:dyDescent="0.25">
      <c r="A13" s="6" t="s">
        <v>29</v>
      </c>
      <c r="B13" s="7" t="s">
        <v>172</v>
      </c>
      <c r="C13" s="8">
        <v>1921304.08</v>
      </c>
      <c r="D13" s="8">
        <v>433971.07</v>
      </c>
      <c r="E13" s="9">
        <v>0.22587318400947801</v>
      </c>
      <c r="F13" s="10" t="s">
        <v>17</v>
      </c>
      <c r="G13" s="10" t="s">
        <v>17</v>
      </c>
    </row>
    <row r="14" spans="1:7" x14ac:dyDescent="0.25">
      <c r="A14" s="6" t="s">
        <v>30</v>
      </c>
      <c r="B14" s="7" t="s">
        <v>173</v>
      </c>
      <c r="C14" s="8">
        <v>1842209.09</v>
      </c>
      <c r="D14" s="8">
        <v>333690.68</v>
      </c>
      <c r="E14" s="9">
        <v>0.181136159739609</v>
      </c>
      <c r="F14" s="10" t="s">
        <v>4</v>
      </c>
      <c r="G14" s="11">
        <f>(D14 / F14)</f>
        <v>55.615113333333333</v>
      </c>
    </row>
    <row r="15" spans="1:7" x14ac:dyDescent="0.25">
      <c r="A15" s="6" t="s">
        <v>31</v>
      </c>
      <c r="B15" s="7" t="s">
        <v>299</v>
      </c>
      <c r="C15" s="8">
        <v>1722343.66</v>
      </c>
      <c r="D15" s="8">
        <v>1155665.72</v>
      </c>
      <c r="E15" s="9">
        <v>0.67098439576222602</v>
      </c>
      <c r="F15" s="10" t="s">
        <v>17</v>
      </c>
      <c r="G15" s="10" t="s">
        <v>17</v>
      </c>
    </row>
    <row r="16" spans="1:7" x14ac:dyDescent="0.25">
      <c r="A16" s="6" t="s">
        <v>32</v>
      </c>
      <c r="B16" s="7" t="s">
        <v>175</v>
      </c>
      <c r="C16" s="8">
        <v>1354300.04</v>
      </c>
      <c r="D16" s="8">
        <v>290849.40999999997</v>
      </c>
      <c r="E16" s="9">
        <v>0.21475995083039401</v>
      </c>
      <c r="F16" s="10" t="s">
        <v>17</v>
      </c>
      <c r="G16" s="10" t="s">
        <v>17</v>
      </c>
    </row>
    <row r="17" spans="1:7" x14ac:dyDescent="0.25">
      <c r="A17" s="6" t="s">
        <v>33</v>
      </c>
      <c r="B17" s="7" t="s">
        <v>296</v>
      </c>
      <c r="C17" s="8">
        <v>1262507.19</v>
      </c>
      <c r="D17" s="8">
        <v>147598.71</v>
      </c>
      <c r="E17" s="9">
        <v>0.116909203503229</v>
      </c>
      <c r="F17" s="10" t="s">
        <v>17</v>
      </c>
      <c r="G17" s="10" t="s">
        <v>17</v>
      </c>
    </row>
    <row r="18" spans="1:7" x14ac:dyDescent="0.25">
      <c r="A18" s="6" t="s">
        <v>34</v>
      </c>
      <c r="B18" s="7" t="s">
        <v>176</v>
      </c>
      <c r="C18" s="8">
        <v>1241589.44</v>
      </c>
      <c r="D18" s="8">
        <v>304203.40999999997</v>
      </c>
      <c r="E18" s="9">
        <v>0.245011273613925</v>
      </c>
      <c r="F18" s="10" t="s">
        <v>17</v>
      </c>
      <c r="G18" s="10" t="s">
        <v>17</v>
      </c>
    </row>
    <row r="19" spans="1:7" x14ac:dyDescent="0.25">
      <c r="A19" s="6" t="s">
        <v>35</v>
      </c>
      <c r="B19" s="7" t="s">
        <v>177</v>
      </c>
      <c r="C19" s="8">
        <v>1240010.48</v>
      </c>
      <c r="D19" s="8">
        <v>279529.01</v>
      </c>
      <c r="E19" s="9">
        <v>0.22542471576530501</v>
      </c>
      <c r="F19" s="10" t="s">
        <v>5</v>
      </c>
      <c r="G19" s="11">
        <f>(D19 / F19)</f>
        <v>124.23511555555557</v>
      </c>
    </row>
    <row r="20" spans="1:7" x14ac:dyDescent="0.25">
      <c r="A20" s="6" t="s">
        <v>36</v>
      </c>
      <c r="B20" s="7" t="s">
        <v>178</v>
      </c>
      <c r="C20" s="8">
        <v>1238175.8799999999</v>
      </c>
      <c r="D20" s="8">
        <v>265480.09999999998</v>
      </c>
      <c r="E20" s="9">
        <v>0.21441226911963401</v>
      </c>
      <c r="F20" s="10" t="s">
        <v>17</v>
      </c>
      <c r="G20" s="10" t="s">
        <v>17</v>
      </c>
    </row>
    <row r="21" spans="1:7" x14ac:dyDescent="0.25">
      <c r="A21" s="6" t="s">
        <v>37</v>
      </c>
      <c r="B21" s="7" t="s">
        <v>182</v>
      </c>
      <c r="C21" s="8">
        <v>1228888.78</v>
      </c>
      <c r="D21" s="8">
        <v>41726.519999999997</v>
      </c>
      <c r="E21" s="9">
        <v>3.3954675703036397E-2</v>
      </c>
      <c r="F21" s="10" t="s">
        <v>17</v>
      </c>
      <c r="G21" s="10" t="s">
        <v>17</v>
      </c>
    </row>
    <row r="22" spans="1:7" x14ac:dyDescent="0.25">
      <c r="A22" s="6" t="s">
        <v>38</v>
      </c>
      <c r="B22" s="7" t="s">
        <v>331</v>
      </c>
      <c r="C22" s="8">
        <v>1223440.1000000001</v>
      </c>
      <c r="D22" s="8">
        <v>1103576.6399999999</v>
      </c>
      <c r="E22" s="9">
        <v>0.90202752059541003</v>
      </c>
      <c r="F22" s="10" t="s">
        <v>17</v>
      </c>
      <c r="G22" s="10" t="s">
        <v>17</v>
      </c>
    </row>
    <row r="23" spans="1:7" x14ac:dyDescent="0.25">
      <c r="A23" s="6" t="s">
        <v>39</v>
      </c>
      <c r="B23" s="7" t="s">
        <v>186</v>
      </c>
      <c r="C23" s="8">
        <v>1149514.98</v>
      </c>
      <c r="D23" s="8">
        <v>30202.9</v>
      </c>
      <c r="E23" s="9">
        <v>2.6274472734578901E-2</v>
      </c>
      <c r="F23" s="10" t="s">
        <v>17</v>
      </c>
      <c r="G23" s="10" t="s">
        <v>17</v>
      </c>
    </row>
    <row r="24" spans="1:7" x14ac:dyDescent="0.25">
      <c r="A24" s="6" t="s">
        <v>40</v>
      </c>
      <c r="B24" s="7" t="s">
        <v>184</v>
      </c>
      <c r="C24" s="8">
        <v>1146445.1599999999</v>
      </c>
      <c r="D24" s="8">
        <v>116261.18</v>
      </c>
      <c r="E24" s="9">
        <v>0.101410153800989</v>
      </c>
      <c r="F24" s="10" t="s">
        <v>17</v>
      </c>
      <c r="G24" s="10" t="s">
        <v>17</v>
      </c>
    </row>
    <row r="25" spans="1:7" x14ac:dyDescent="0.25">
      <c r="A25" s="6" t="s">
        <v>41</v>
      </c>
      <c r="B25" s="7" t="s">
        <v>180</v>
      </c>
      <c r="C25" s="8">
        <v>1138564.03</v>
      </c>
      <c r="D25" s="8">
        <v>297542.63</v>
      </c>
      <c r="E25" s="9">
        <v>0.261331486117649</v>
      </c>
      <c r="F25" s="10" t="s">
        <v>17</v>
      </c>
      <c r="G25" s="10" t="s">
        <v>17</v>
      </c>
    </row>
    <row r="26" spans="1:7" x14ac:dyDescent="0.25">
      <c r="A26" s="6" t="s">
        <v>42</v>
      </c>
      <c r="B26" s="7" t="s">
        <v>179</v>
      </c>
      <c r="C26" s="8">
        <v>1128310.23</v>
      </c>
      <c r="D26" s="8">
        <v>247343.76</v>
      </c>
      <c r="E26" s="9">
        <v>0.21921609272300899</v>
      </c>
      <c r="F26" s="10" t="s">
        <v>4</v>
      </c>
      <c r="G26" s="11">
        <f>(D26 / F26)</f>
        <v>41.223959999999998</v>
      </c>
    </row>
    <row r="27" spans="1:7" x14ac:dyDescent="0.25">
      <c r="A27" s="6" t="s">
        <v>43</v>
      </c>
      <c r="B27" s="7" t="s">
        <v>189</v>
      </c>
      <c r="C27" s="8">
        <v>1128204.01</v>
      </c>
      <c r="D27" s="8">
        <v>317643.81</v>
      </c>
      <c r="E27" s="9">
        <v>0.28154820155266103</v>
      </c>
      <c r="F27" s="10" t="s">
        <v>17</v>
      </c>
      <c r="G27" s="10" t="s">
        <v>17</v>
      </c>
    </row>
    <row r="28" spans="1:7" x14ac:dyDescent="0.25">
      <c r="A28" s="6" t="s">
        <v>44</v>
      </c>
      <c r="B28" s="7" t="s">
        <v>225</v>
      </c>
      <c r="C28" s="8">
        <v>1028954.42</v>
      </c>
      <c r="D28" s="8">
        <v>705177.39</v>
      </c>
      <c r="E28" s="9">
        <v>0.68533394316922203</v>
      </c>
      <c r="F28" s="10" t="s">
        <v>12</v>
      </c>
      <c r="G28" s="11">
        <f>(D28 / F28)</f>
        <v>156.70608666666666</v>
      </c>
    </row>
    <row r="29" spans="1:7" x14ac:dyDescent="0.25">
      <c r="A29" s="12" t="s">
        <v>45</v>
      </c>
      <c r="B29" s="13" t="s">
        <v>181</v>
      </c>
      <c r="C29" s="14">
        <v>1028000.9578</v>
      </c>
      <c r="D29" s="14">
        <v>226634.27</v>
      </c>
      <c r="E29" s="15">
        <v>0.22046114673376799</v>
      </c>
      <c r="F29" s="16" t="s">
        <v>6</v>
      </c>
      <c r="G29" s="17">
        <f>(D29 / F29)</f>
        <v>22.663426999999999</v>
      </c>
    </row>
    <row r="30" spans="1:7" x14ac:dyDescent="0.25">
      <c r="A30" s="6" t="s">
        <v>46</v>
      </c>
      <c r="B30" s="7" t="s">
        <v>206</v>
      </c>
      <c r="C30" s="8">
        <v>1014045.95</v>
      </c>
      <c r="D30" s="8">
        <v>416829.64</v>
      </c>
      <c r="E30" s="9">
        <v>0.41105596842036601</v>
      </c>
      <c r="F30" s="10" t="s">
        <v>17</v>
      </c>
      <c r="G30" s="10" t="s">
        <v>17</v>
      </c>
    </row>
    <row r="31" spans="1:7" x14ac:dyDescent="0.25">
      <c r="A31" s="6" t="s">
        <v>47</v>
      </c>
      <c r="B31" s="7" t="s">
        <v>300</v>
      </c>
      <c r="C31" s="8">
        <v>988989.42</v>
      </c>
      <c r="D31" s="8">
        <v>257216.95</v>
      </c>
      <c r="E31" s="9">
        <v>0.260080588121964</v>
      </c>
      <c r="F31" s="10" t="s">
        <v>17</v>
      </c>
      <c r="G31" s="10" t="s">
        <v>17</v>
      </c>
    </row>
    <row r="32" spans="1:7" x14ac:dyDescent="0.25">
      <c r="A32" s="6" t="s">
        <v>48</v>
      </c>
      <c r="B32" s="7" t="s">
        <v>188</v>
      </c>
      <c r="C32" s="8">
        <v>966167.41</v>
      </c>
      <c r="D32" s="8">
        <v>174308.53</v>
      </c>
      <c r="E32" s="9">
        <v>0.180412346965833</v>
      </c>
      <c r="F32" s="10" t="s">
        <v>17</v>
      </c>
      <c r="G32" s="10" t="s">
        <v>17</v>
      </c>
    </row>
    <row r="33" spans="1:7" x14ac:dyDescent="0.25">
      <c r="A33" s="6" t="s">
        <v>49</v>
      </c>
      <c r="B33" s="7" t="s">
        <v>187</v>
      </c>
      <c r="C33" s="8">
        <v>962422.58</v>
      </c>
      <c r="D33" s="8">
        <v>211836.19</v>
      </c>
      <c r="E33" s="9">
        <v>0.220107252678964</v>
      </c>
      <c r="F33" s="10" t="s">
        <v>17</v>
      </c>
      <c r="G33" s="10" t="s">
        <v>17</v>
      </c>
    </row>
    <row r="34" spans="1:7" x14ac:dyDescent="0.25">
      <c r="A34" s="6" t="s">
        <v>50</v>
      </c>
      <c r="B34" s="7" t="s">
        <v>199</v>
      </c>
      <c r="C34" s="8">
        <v>930836.19</v>
      </c>
      <c r="D34" s="8">
        <v>300737.77</v>
      </c>
      <c r="E34" s="9">
        <v>0.32308345252455201</v>
      </c>
      <c r="F34" s="10" t="s">
        <v>12</v>
      </c>
      <c r="G34" s="11">
        <f>(D34 / F34)</f>
        <v>66.830615555555553</v>
      </c>
    </row>
    <row r="35" spans="1:7" x14ac:dyDescent="0.25">
      <c r="A35" s="6" t="s">
        <v>51</v>
      </c>
      <c r="B35" s="7" t="s">
        <v>174</v>
      </c>
      <c r="C35" s="8">
        <v>927756.82</v>
      </c>
      <c r="D35" s="8">
        <v>800680.88</v>
      </c>
      <c r="E35" s="9">
        <v>0.86302882688590699</v>
      </c>
      <c r="F35" s="10" t="s">
        <v>17</v>
      </c>
      <c r="G35" s="10" t="s">
        <v>17</v>
      </c>
    </row>
    <row r="36" spans="1:7" x14ac:dyDescent="0.25">
      <c r="A36" s="6" t="s">
        <v>52</v>
      </c>
      <c r="B36" s="7" t="s">
        <v>185</v>
      </c>
      <c r="C36" s="8">
        <v>912193.3</v>
      </c>
      <c r="D36" s="8">
        <v>206121.54</v>
      </c>
      <c r="E36" s="9">
        <v>0.22596256736373699</v>
      </c>
      <c r="F36" s="10" t="s">
        <v>7</v>
      </c>
      <c r="G36" s="11">
        <f>(D36 / F36)</f>
        <v>58.891868571428574</v>
      </c>
    </row>
    <row r="37" spans="1:7" x14ac:dyDescent="0.25">
      <c r="A37" s="6" t="s">
        <v>53</v>
      </c>
      <c r="B37" s="7" t="s">
        <v>190</v>
      </c>
      <c r="C37" s="8">
        <v>892717.42</v>
      </c>
      <c r="D37" s="8">
        <v>247921.19</v>
      </c>
      <c r="E37" s="9">
        <v>0.27771519233936298</v>
      </c>
      <c r="F37" s="10" t="s">
        <v>17</v>
      </c>
      <c r="G37" s="10" t="s">
        <v>17</v>
      </c>
    </row>
    <row r="38" spans="1:7" x14ac:dyDescent="0.25">
      <c r="A38" s="6" t="s">
        <v>54</v>
      </c>
      <c r="B38" s="7" t="s">
        <v>194</v>
      </c>
      <c r="C38" s="8">
        <v>862037.94</v>
      </c>
      <c r="D38" s="8">
        <v>166691.24</v>
      </c>
      <c r="E38" s="9">
        <v>0.19336879766567999</v>
      </c>
      <c r="F38" s="10" t="s">
        <v>10</v>
      </c>
      <c r="G38" s="11">
        <f>(D38 / F38)</f>
        <v>333.38247999999999</v>
      </c>
    </row>
    <row r="39" spans="1:7" x14ac:dyDescent="0.25">
      <c r="A39" s="6" t="s">
        <v>55</v>
      </c>
      <c r="B39" s="7" t="s">
        <v>192</v>
      </c>
      <c r="C39" s="8">
        <v>848723.85</v>
      </c>
      <c r="D39" s="8">
        <v>185622.18</v>
      </c>
      <c r="E39" s="9">
        <v>0.21870739228077499</v>
      </c>
      <c r="F39" s="10" t="s">
        <v>17</v>
      </c>
      <c r="G39" s="10" t="s">
        <v>17</v>
      </c>
    </row>
    <row r="40" spans="1:7" x14ac:dyDescent="0.25">
      <c r="A40" s="6" t="s">
        <v>56</v>
      </c>
      <c r="B40" s="7" t="s">
        <v>193</v>
      </c>
      <c r="C40" s="8">
        <v>825907.42</v>
      </c>
      <c r="D40" s="8">
        <v>163711.29</v>
      </c>
      <c r="E40" s="9">
        <v>0.198219904598992</v>
      </c>
      <c r="F40" s="10" t="s">
        <v>9</v>
      </c>
      <c r="G40" s="11">
        <f>(D40 / F40)</f>
        <v>64.200505882352942</v>
      </c>
    </row>
    <row r="41" spans="1:7" x14ac:dyDescent="0.25">
      <c r="A41" s="6" t="s">
        <v>57</v>
      </c>
      <c r="B41" s="7" t="s">
        <v>191</v>
      </c>
      <c r="C41" s="8">
        <v>812626.75</v>
      </c>
      <c r="D41" s="8">
        <v>171860.23</v>
      </c>
      <c r="E41" s="9">
        <v>0.211487291059518</v>
      </c>
      <c r="F41" s="10" t="s">
        <v>8</v>
      </c>
      <c r="G41" s="11">
        <f>(D41 / F41)</f>
        <v>63.651937037037044</v>
      </c>
    </row>
    <row r="42" spans="1:7" x14ac:dyDescent="0.25">
      <c r="A42" s="6" t="s">
        <v>58</v>
      </c>
      <c r="B42" s="7" t="s">
        <v>195</v>
      </c>
      <c r="C42" s="8">
        <v>807197.38</v>
      </c>
      <c r="D42" s="8">
        <v>193762.49</v>
      </c>
      <c r="E42" s="9">
        <v>0.240043507078777</v>
      </c>
      <c r="F42" s="10" t="s">
        <v>17</v>
      </c>
      <c r="G42" s="10" t="s">
        <v>17</v>
      </c>
    </row>
    <row r="43" spans="1:7" x14ac:dyDescent="0.25">
      <c r="A43" s="6" t="s">
        <v>59</v>
      </c>
      <c r="B43" s="7" t="s">
        <v>301</v>
      </c>
      <c r="C43" s="8">
        <v>805018.21</v>
      </c>
      <c r="D43" s="8">
        <v>536827.22</v>
      </c>
      <c r="E43" s="9">
        <v>0.66685102688546605</v>
      </c>
      <c r="F43" s="10" t="s">
        <v>17</v>
      </c>
      <c r="G43" s="10" t="s">
        <v>17</v>
      </c>
    </row>
    <row r="44" spans="1:7" x14ac:dyDescent="0.25">
      <c r="A44" s="6" t="s">
        <v>60</v>
      </c>
      <c r="B44" s="7" t="s">
        <v>219</v>
      </c>
      <c r="C44" s="8">
        <v>794880.48</v>
      </c>
      <c r="D44" s="8">
        <v>261792.69</v>
      </c>
      <c r="E44" s="9">
        <v>0.32934849526057097</v>
      </c>
      <c r="F44" s="10" t="s">
        <v>17</v>
      </c>
      <c r="G44" s="10" t="s">
        <v>17</v>
      </c>
    </row>
    <row r="45" spans="1:7" x14ac:dyDescent="0.25">
      <c r="A45" s="6" t="s">
        <v>61</v>
      </c>
      <c r="B45" s="7" t="s">
        <v>302</v>
      </c>
      <c r="C45" s="8">
        <v>757658.17</v>
      </c>
      <c r="D45" s="8">
        <v>406740.05</v>
      </c>
      <c r="E45" s="9">
        <v>0.53683846634954102</v>
      </c>
      <c r="F45" s="10" t="s">
        <v>17</v>
      </c>
      <c r="G45" s="10" t="s">
        <v>17</v>
      </c>
    </row>
    <row r="46" spans="1:7" x14ac:dyDescent="0.25">
      <c r="A46" s="6" t="s">
        <v>62</v>
      </c>
      <c r="B46" s="7" t="s">
        <v>252</v>
      </c>
      <c r="C46" s="8">
        <v>719912.98</v>
      </c>
      <c r="D46" s="8">
        <v>148541.17000000001</v>
      </c>
      <c r="E46" s="9">
        <v>0.206332118084605</v>
      </c>
      <c r="F46" s="10" t="s">
        <v>17</v>
      </c>
      <c r="G46" s="10" t="s">
        <v>17</v>
      </c>
    </row>
    <row r="47" spans="1:7" x14ac:dyDescent="0.25">
      <c r="A47" s="6" t="s">
        <v>63</v>
      </c>
      <c r="B47" s="7" t="s">
        <v>196</v>
      </c>
      <c r="C47" s="8">
        <v>713340.04</v>
      </c>
      <c r="D47" s="8">
        <v>100681.48</v>
      </c>
      <c r="E47" s="9">
        <v>0.141140934693642</v>
      </c>
      <c r="F47" s="10" t="s">
        <v>17</v>
      </c>
      <c r="G47" s="10" t="s">
        <v>17</v>
      </c>
    </row>
    <row r="48" spans="1:7" x14ac:dyDescent="0.25">
      <c r="A48" s="6" t="s">
        <v>64</v>
      </c>
      <c r="B48" s="7" t="s">
        <v>198</v>
      </c>
      <c r="C48" s="8">
        <v>700068.58</v>
      </c>
      <c r="D48" s="8">
        <v>115108.45</v>
      </c>
      <c r="E48" s="9">
        <v>0.16442453395066001</v>
      </c>
      <c r="F48" s="10" t="s">
        <v>17</v>
      </c>
      <c r="G48" s="10" t="s">
        <v>17</v>
      </c>
    </row>
    <row r="49" spans="1:7" x14ac:dyDescent="0.25">
      <c r="A49" s="6" t="s">
        <v>65</v>
      </c>
      <c r="B49" s="7" t="s">
        <v>213</v>
      </c>
      <c r="C49" s="8">
        <v>642774.84</v>
      </c>
      <c r="D49" s="8">
        <v>7016.97</v>
      </c>
      <c r="E49" s="9">
        <v>1.09166842933678E-2</v>
      </c>
      <c r="F49" s="10" t="s">
        <v>17</v>
      </c>
      <c r="G49" s="10" t="s">
        <v>17</v>
      </c>
    </row>
    <row r="50" spans="1:7" x14ac:dyDescent="0.25">
      <c r="A50" s="6" t="s">
        <v>66</v>
      </c>
      <c r="B50" s="7" t="s">
        <v>201</v>
      </c>
      <c r="C50" s="8">
        <v>638060.43000000005</v>
      </c>
      <c r="D50" s="8">
        <v>116301.67</v>
      </c>
      <c r="E50" s="9">
        <v>0.182273754227323</v>
      </c>
      <c r="F50" s="10" t="s">
        <v>13</v>
      </c>
      <c r="G50" s="11">
        <f>(D50 / F50)</f>
        <v>38.767223333333334</v>
      </c>
    </row>
    <row r="51" spans="1:7" x14ac:dyDescent="0.25">
      <c r="A51" s="6" t="s">
        <v>67</v>
      </c>
      <c r="B51" s="7" t="s">
        <v>197</v>
      </c>
      <c r="C51" s="8">
        <v>624429</v>
      </c>
      <c r="D51" s="8">
        <v>159727.46</v>
      </c>
      <c r="E51" s="9">
        <v>0.25579763271724998</v>
      </c>
      <c r="F51" s="10" t="s">
        <v>11</v>
      </c>
      <c r="G51" s="11">
        <f>(D51 / F51)</f>
        <v>42.442441522138282</v>
      </c>
    </row>
    <row r="52" spans="1:7" x14ac:dyDescent="0.25">
      <c r="A52" s="6" t="s">
        <v>68</v>
      </c>
      <c r="B52" s="7" t="s">
        <v>205</v>
      </c>
      <c r="C52" s="8">
        <v>597930.43000000005</v>
      </c>
      <c r="D52" s="8">
        <v>92046.33</v>
      </c>
      <c r="E52" s="9">
        <v>0.153941537981267</v>
      </c>
      <c r="F52" s="10" t="s">
        <v>17</v>
      </c>
      <c r="G52" s="10" t="s">
        <v>17</v>
      </c>
    </row>
    <row r="53" spans="1:7" x14ac:dyDescent="0.25">
      <c r="A53" s="6" t="s">
        <v>69</v>
      </c>
      <c r="B53" s="7" t="s">
        <v>329</v>
      </c>
      <c r="C53" s="8">
        <v>589573.48</v>
      </c>
      <c r="D53" s="8">
        <v>487083.87</v>
      </c>
      <c r="E53" s="9">
        <v>0.82616312728313301</v>
      </c>
      <c r="F53" s="10" t="s">
        <v>17</v>
      </c>
      <c r="G53" s="10" t="s">
        <v>17</v>
      </c>
    </row>
    <row r="54" spans="1:7" x14ac:dyDescent="0.25">
      <c r="A54" s="6" t="s">
        <v>70</v>
      </c>
      <c r="B54" s="7" t="s">
        <v>202</v>
      </c>
      <c r="C54" s="8">
        <v>565862.62</v>
      </c>
      <c r="D54" s="8">
        <v>122945.01</v>
      </c>
      <c r="E54" s="9">
        <v>0.21727006813067101</v>
      </c>
      <c r="F54" s="10" t="s">
        <v>17</v>
      </c>
      <c r="G54" s="10" t="s">
        <v>17</v>
      </c>
    </row>
    <row r="55" spans="1:7" x14ac:dyDescent="0.25">
      <c r="A55" s="6" t="s">
        <v>71</v>
      </c>
      <c r="B55" s="7" t="s">
        <v>203</v>
      </c>
      <c r="C55" s="8">
        <v>556396.68999999994</v>
      </c>
      <c r="D55" s="8">
        <v>61576.85</v>
      </c>
      <c r="E55" s="9">
        <v>0.110670769806341</v>
      </c>
      <c r="F55" s="10" t="s">
        <v>17</v>
      </c>
      <c r="G55" s="10" t="s">
        <v>17</v>
      </c>
    </row>
    <row r="56" spans="1:7" x14ac:dyDescent="0.25">
      <c r="A56" s="6" t="s">
        <v>72</v>
      </c>
      <c r="B56" s="7" t="s">
        <v>204</v>
      </c>
      <c r="C56" s="8">
        <v>525516.42000000004</v>
      </c>
      <c r="D56" s="8">
        <v>120626.75</v>
      </c>
      <c r="E56" s="9">
        <v>0.229539449975702</v>
      </c>
      <c r="F56" s="10" t="s">
        <v>17</v>
      </c>
      <c r="G56" s="10" t="s">
        <v>17</v>
      </c>
    </row>
    <row r="57" spans="1:7" x14ac:dyDescent="0.25">
      <c r="A57" s="6" t="s">
        <v>73</v>
      </c>
      <c r="B57" s="7" t="s">
        <v>237</v>
      </c>
      <c r="C57" s="8">
        <v>494200.32000000001</v>
      </c>
      <c r="D57" s="8">
        <v>211868.86</v>
      </c>
      <c r="E57" s="9">
        <v>0.42871048727771</v>
      </c>
      <c r="F57" s="10" t="s">
        <v>17</v>
      </c>
      <c r="G57" s="10" t="s">
        <v>17</v>
      </c>
    </row>
    <row r="58" spans="1:7" x14ac:dyDescent="0.25">
      <c r="A58" s="6" t="s">
        <v>74</v>
      </c>
      <c r="B58" s="7" t="s">
        <v>200</v>
      </c>
      <c r="C58" s="8">
        <v>472550.07</v>
      </c>
      <c r="D58" s="8">
        <v>109102.59</v>
      </c>
      <c r="E58" s="9">
        <v>0.23088048637893499</v>
      </c>
      <c r="F58" s="10" t="s">
        <v>17</v>
      </c>
      <c r="G58" s="10" t="s">
        <v>17</v>
      </c>
    </row>
    <row r="59" spans="1:7" x14ac:dyDescent="0.25">
      <c r="A59" s="6" t="s">
        <v>75</v>
      </c>
      <c r="B59" s="7" t="s">
        <v>215</v>
      </c>
      <c r="C59" s="8">
        <v>466683.04</v>
      </c>
      <c r="D59" s="8">
        <v>72715.240000000005</v>
      </c>
      <c r="E59" s="9">
        <v>0.15581290462151801</v>
      </c>
      <c r="F59" s="10" t="s">
        <v>17</v>
      </c>
      <c r="G59" s="10" t="s">
        <v>17</v>
      </c>
    </row>
    <row r="60" spans="1:7" x14ac:dyDescent="0.25">
      <c r="A60" s="6" t="s">
        <v>76</v>
      </c>
      <c r="B60" s="7" t="s">
        <v>208</v>
      </c>
      <c r="C60" s="8">
        <v>466595.57169999997</v>
      </c>
      <c r="D60" s="8">
        <v>94221.82</v>
      </c>
      <c r="E60" s="9">
        <v>0.20193466401044299</v>
      </c>
      <c r="F60" s="10" t="s">
        <v>14</v>
      </c>
      <c r="G60" s="11">
        <f>(D60 / F60)</f>
        <v>37.688728000000005</v>
      </c>
    </row>
    <row r="61" spans="1:7" x14ac:dyDescent="0.25">
      <c r="A61" s="6" t="s">
        <v>77</v>
      </c>
      <c r="B61" s="7" t="s">
        <v>207</v>
      </c>
      <c r="C61" s="8">
        <v>460942.78</v>
      </c>
      <c r="D61" s="8">
        <v>153448.26999999999</v>
      </c>
      <c r="E61" s="9">
        <v>0.33290090800424299</v>
      </c>
      <c r="F61" s="10" t="s">
        <v>17</v>
      </c>
      <c r="G61" s="10" t="s">
        <v>17</v>
      </c>
    </row>
    <row r="62" spans="1:7" x14ac:dyDescent="0.25">
      <c r="A62" s="6" t="s">
        <v>78</v>
      </c>
      <c r="B62" s="7" t="s">
        <v>221</v>
      </c>
      <c r="C62" s="8">
        <v>457438.14</v>
      </c>
      <c r="D62" s="8">
        <v>157332.18</v>
      </c>
      <c r="E62" s="9">
        <v>0.34394198087636502</v>
      </c>
      <c r="F62" s="10" t="s">
        <v>17</v>
      </c>
      <c r="G62" s="10" t="s">
        <v>17</v>
      </c>
    </row>
    <row r="63" spans="1:7" x14ac:dyDescent="0.25">
      <c r="A63" s="6" t="s">
        <v>79</v>
      </c>
      <c r="B63" s="7" t="s">
        <v>250</v>
      </c>
      <c r="C63" s="8">
        <v>440480.36</v>
      </c>
      <c r="D63" s="8">
        <v>214603.68</v>
      </c>
      <c r="E63" s="9">
        <v>0.48720374275030098</v>
      </c>
      <c r="F63" s="10" t="s">
        <v>17</v>
      </c>
      <c r="G63" s="10" t="s">
        <v>17</v>
      </c>
    </row>
    <row r="64" spans="1:7" x14ac:dyDescent="0.25">
      <c r="A64" s="6" t="s">
        <v>80</v>
      </c>
      <c r="B64" s="7" t="s">
        <v>223</v>
      </c>
      <c r="C64" s="8">
        <v>431262.33</v>
      </c>
      <c r="D64" s="8">
        <v>59168.36</v>
      </c>
      <c r="E64" s="9">
        <v>0.13719807153107899</v>
      </c>
      <c r="F64" s="10" t="s">
        <v>17</v>
      </c>
      <c r="G64" s="10" t="s">
        <v>17</v>
      </c>
    </row>
    <row r="65" spans="1:7" x14ac:dyDescent="0.25">
      <c r="A65" s="6" t="s">
        <v>81</v>
      </c>
      <c r="B65" s="7" t="s">
        <v>214</v>
      </c>
      <c r="C65" s="8">
        <v>416227.53</v>
      </c>
      <c r="D65" s="8">
        <v>27884.21</v>
      </c>
      <c r="E65" s="9">
        <v>6.6992709492329799E-2</v>
      </c>
      <c r="F65" s="10" t="s">
        <v>17</v>
      </c>
      <c r="G65" s="10" t="s">
        <v>17</v>
      </c>
    </row>
    <row r="66" spans="1:7" x14ac:dyDescent="0.25">
      <c r="A66" s="6" t="s">
        <v>82</v>
      </c>
      <c r="B66" s="7" t="s">
        <v>211</v>
      </c>
      <c r="C66" s="8">
        <v>411837.26</v>
      </c>
      <c r="D66" s="8">
        <v>61762.82</v>
      </c>
      <c r="E66" s="9">
        <v>0.14996899503459199</v>
      </c>
      <c r="F66" s="10" t="s">
        <v>17</v>
      </c>
      <c r="G66" s="10" t="s">
        <v>17</v>
      </c>
    </row>
    <row r="67" spans="1:7" x14ac:dyDescent="0.25">
      <c r="A67" s="6" t="s">
        <v>83</v>
      </c>
      <c r="B67" s="7" t="s">
        <v>304</v>
      </c>
      <c r="C67" s="8">
        <v>402861.47</v>
      </c>
      <c r="D67" s="8">
        <v>49212.9</v>
      </c>
      <c r="E67" s="9">
        <v>0.12215836873156399</v>
      </c>
      <c r="F67" s="10" t="s">
        <v>17</v>
      </c>
      <c r="G67" s="10" t="s">
        <v>17</v>
      </c>
    </row>
    <row r="68" spans="1:7" x14ac:dyDescent="0.25">
      <c r="A68" s="6" t="s">
        <v>84</v>
      </c>
      <c r="B68" s="7" t="s">
        <v>209</v>
      </c>
      <c r="C68" s="8">
        <v>402770.44</v>
      </c>
      <c r="D68" s="8">
        <v>74613.19</v>
      </c>
      <c r="E68" s="9">
        <v>0.18524991555984099</v>
      </c>
      <c r="F68" s="10" t="s">
        <v>17</v>
      </c>
      <c r="G68" s="10" t="s">
        <v>17</v>
      </c>
    </row>
    <row r="69" spans="1:7" x14ac:dyDescent="0.25">
      <c r="A69" s="6" t="s">
        <v>85</v>
      </c>
      <c r="B69" s="7" t="s">
        <v>212</v>
      </c>
      <c r="C69" s="8">
        <v>400803.86</v>
      </c>
      <c r="D69" s="8">
        <v>76581.3</v>
      </c>
      <c r="E69" s="9">
        <v>0.19106926764627499</v>
      </c>
      <c r="F69" s="10" t="s">
        <v>17</v>
      </c>
      <c r="G69" s="10" t="s">
        <v>17</v>
      </c>
    </row>
    <row r="70" spans="1:7" x14ac:dyDescent="0.25">
      <c r="A70" s="6" t="s">
        <v>86</v>
      </c>
      <c r="B70" s="7" t="s">
        <v>210</v>
      </c>
      <c r="C70" s="8">
        <v>380160.90100000001</v>
      </c>
      <c r="D70" s="8">
        <v>74290.100000000006</v>
      </c>
      <c r="E70" s="9">
        <v>0.195417518752145</v>
      </c>
      <c r="F70" s="10" t="s">
        <v>17</v>
      </c>
      <c r="G70" s="10" t="s">
        <v>17</v>
      </c>
    </row>
    <row r="71" spans="1:7" x14ac:dyDescent="0.25">
      <c r="A71" s="6" t="s">
        <v>87</v>
      </c>
      <c r="B71" s="7" t="s">
        <v>220</v>
      </c>
      <c r="C71" s="8">
        <v>362659.74</v>
      </c>
      <c r="D71" s="8">
        <v>64002.69</v>
      </c>
      <c r="E71" s="9">
        <v>0.17648137617922499</v>
      </c>
      <c r="F71" s="10" t="s">
        <v>17</v>
      </c>
      <c r="G71" s="10" t="s">
        <v>17</v>
      </c>
    </row>
    <row r="72" spans="1:7" x14ac:dyDescent="0.25">
      <c r="A72" s="6" t="s">
        <v>88</v>
      </c>
      <c r="B72" s="7" t="s">
        <v>222</v>
      </c>
      <c r="C72" s="8">
        <v>359146.85</v>
      </c>
      <c r="D72" s="8">
        <v>43822.35</v>
      </c>
      <c r="E72" s="9">
        <v>0.122017915512833</v>
      </c>
      <c r="F72" s="10" t="s">
        <v>17</v>
      </c>
      <c r="G72" s="10" t="s">
        <v>17</v>
      </c>
    </row>
    <row r="73" spans="1:7" x14ac:dyDescent="0.25">
      <c r="A73" s="6" t="s">
        <v>89</v>
      </c>
      <c r="B73" s="7" t="s">
        <v>218</v>
      </c>
      <c r="C73" s="8">
        <v>350219.09</v>
      </c>
      <c r="D73" s="8">
        <v>56697.23</v>
      </c>
      <c r="E73" s="9">
        <v>0.16189074673228099</v>
      </c>
      <c r="F73" s="10" t="s">
        <v>17</v>
      </c>
      <c r="G73" s="10" t="s">
        <v>17</v>
      </c>
    </row>
    <row r="74" spans="1:7" x14ac:dyDescent="0.25">
      <c r="A74" s="6" t="s">
        <v>90</v>
      </c>
      <c r="B74" s="7" t="s">
        <v>217</v>
      </c>
      <c r="C74" s="8">
        <v>345150.41</v>
      </c>
      <c r="D74" s="8">
        <v>59929.760000000002</v>
      </c>
      <c r="E74" s="9">
        <v>0.173633749993228</v>
      </c>
      <c r="F74" s="10" t="s">
        <v>15</v>
      </c>
      <c r="G74" s="11">
        <f>(D74 / F74)</f>
        <v>59.929760000000002</v>
      </c>
    </row>
    <row r="75" spans="1:7" x14ac:dyDescent="0.25">
      <c r="A75" s="6" t="s">
        <v>91</v>
      </c>
      <c r="B75" s="7" t="s">
        <v>226</v>
      </c>
      <c r="C75" s="8">
        <v>323062.82</v>
      </c>
      <c r="D75" s="8">
        <v>20226.73</v>
      </c>
      <c r="E75" s="9">
        <v>6.2609278282162006E-2</v>
      </c>
      <c r="F75" s="10" t="s">
        <v>17</v>
      </c>
      <c r="G75" s="10" t="s">
        <v>17</v>
      </c>
    </row>
    <row r="76" spans="1:7" x14ac:dyDescent="0.25">
      <c r="A76" s="6" t="s">
        <v>92</v>
      </c>
      <c r="B76" s="7" t="s">
        <v>216</v>
      </c>
      <c r="C76" s="8">
        <v>319364.92</v>
      </c>
      <c r="D76" s="8">
        <v>174143.45</v>
      </c>
      <c r="E76" s="9">
        <v>0.54528045847991102</v>
      </c>
      <c r="F76" s="10" t="s">
        <v>17</v>
      </c>
      <c r="G76" s="10" t="s">
        <v>17</v>
      </c>
    </row>
    <row r="77" spans="1:7" x14ac:dyDescent="0.25">
      <c r="A77" s="6" t="s">
        <v>93</v>
      </c>
      <c r="B77" s="7" t="s">
        <v>227</v>
      </c>
      <c r="C77" s="8">
        <v>318843.18</v>
      </c>
      <c r="D77" s="8">
        <v>30807.88</v>
      </c>
      <c r="E77" s="9">
        <v>9.6623926533413701E-2</v>
      </c>
      <c r="F77" s="10" t="s">
        <v>17</v>
      </c>
      <c r="G77" s="10" t="s">
        <v>17</v>
      </c>
    </row>
    <row r="78" spans="1:7" x14ac:dyDescent="0.25">
      <c r="A78" s="6" t="s">
        <v>94</v>
      </c>
      <c r="B78" s="7" t="s">
        <v>303</v>
      </c>
      <c r="C78" s="8">
        <v>311637.68</v>
      </c>
      <c r="D78" s="8">
        <v>30630.39</v>
      </c>
      <c r="E78" s="9">
        <v>9.8288467556298095E-2</v>
      </c>
      <c r="F78" s="10" t="s">
        <v>17</v>
      </c>
      <c r="G78" s="10" t="s">
        <v>17</v>
      </c>
    </row>
    <row r="79" spans="1:7" x14ac:dyDescent="0.25">
      <c r="A79" s="6" t="s">
        <v>95</v>
      </c>
      <c r="B79" s="7" t="s">
        <v>224</v>
      </c>
      <c r="C79" s="8">
        <v>305676.34999999998</v>
      </c>
      <c r="D79" s="8">
        <v>59312.55</v>
      </c>
      <c r="E79" s="9">
        <v>0.194037091845673</v>
      </c>
      <c r="F79" s="10" t="s">
        <v>17</v>
      </c>
      <c r="G79" s="10" t="s">
        <v>17</v>
      </c>
    </row>
    <row r="80" spans="1:7" x14ac:dyDescent="0.25">
      <c r="A80" s="6" t="s">
        <v>96</v>
      </c>
      <c r="B80" s="7" t="s">
        <v>228</v>
      </c>
      <c r="C80" s="8">
        <v>294426.45</v>
      </c>
      <c r="D80" s="8">
        <v>14430.33</v>
      </c>
      <c r="E80" s="9">
        <v>4.9011663184472698E-2</v>
      </c>
      <c r="F80" s="10" t="s">
        <v>17</v>
      </c>
      <c r="G80" s="10" t="s">
        <v>17</v>
      </c>
    </row>
    <row r="81" spans="1:7" x14ac:dyDescent="0.25">
      <c r="A81" s="6" t="s">
        <v>97</v>
      </c>
      <c r="B81" s="7" t="s">
        <v>229</v>
      </c>
      <c r="C81" s="8">
        <v>286896.34999999998</v>
      </c>
      <c r="D81" s="8">
        <v>38879.17</v>
      </c>
      <c r="E81" s="9">
        <v>0.135516433025377</v>
      </c>
      <c r="F81" s="10" t="s">
        <v>17</v>
      </c>
      <c r="G81" s="10" t="s">
        <v>17</v>
      </c>
    </row>
    <row r="82" spans="1:7" x14ac:dyDescent="0.25">
      <c r="A82" s="6" t="s">
        <v>98</v>
      </c>
      <c r="B82" s="7" t="s">
        <v>232</v>
      </c>
      <c r="C82" s="8">
        <v>280089</v>
      </c>
      <c r="D82" s="8">
        <v>15814.05</v>
      </c>
      <c r="E82" s="9">
        <v>5.64608035303064E-2</v>
      </c>
      <c r="F82" s="10" t="s">
        <v>17</v>
      </c>
      <c r="G82" s="10" t="s">
        <v>17</v>
      </c>
    </row>
    <row r="83" spans="1:7" x14ac:dyDescent="0.25">
      <c r="A83" s="6" t="s">
        <v>99</v>
      </c>
      <c r="B83" s="7" t="s">
        <v>231</v>
      </c>
      <c r="C83" s="8">
        <v>278454.71999999997</v>
      </c>
      <c r="D83" s="8">
        <v>29543.439999999999</v>
      </c>
      <c r="E83" s="9">
        <v>0.106097824450596</v>
      </c>
      <c r="F83" s="10" t="s">
        <v>17</v>
      </c>
      <c r="G83" s="10" t="s">
        <v>17</v>
      </c>
    </row>
    <row r="84" spans="1:7" x14ac:dyDescent="0.25">
      <c r="A84" s="6" t="s">
        <v>100</v>
      </c>
      <c r="B84" s="7" t="s">
        <v>254</v>
      </c>
      <c r="C84" s="8">
        <v>272861.53999999998</v>
      </c>
      <c r="D84" s="8">
        <v>42723.31</v>
      </c>
      <c r="E84" s="9">
        <v>0.15657505268056501</v>
      </c>
      <c r="F84" s="10" t="s">
        <v>17</v>
      </c>
      <c r="G84" s="10" t="s">
        <v>17</v>
      </c>
    </row>
    <row r="85" spans="1:7" x14ac:dyDescent="0.25">
      <c r="A85" s="6" t="s">
        <v>101</v>
      </c>
      <c r="B85" s="7" t="s">
        <v>234</v>
      </c>
      <c r="C85" s="8">
        <v>266037.44</v>
      </c>
      <c r="D85" s="8">
        <v>25306.18</v>
      </c>
      <c r="E85" s="9">
        <v>9.5122626349133405E-2</v>
      </c>
      <c r="F85" s="10" t="s">
        <v>17</v>
      </c>
      <c r="G85" s="10" t="s">
        <v>17</v>
      </c>
    </row>
    <row r="86" spans="1:7" x14ac:dyDescent="0.25">
      <c r="A86" s="6" t="s">
        <v>102</v>
      </c>
      <c r="B86" s="7" t="s">
        <v>233</v>
      </c>
      <c r="C86" s="8">
        <v>258131.61</v>
      </c>
      <c r="D86" s="8">
        <v>53892.41</v>
      </c>
      <c r="E86" s="9">
        <v>0.20877880860852299</v>
      </c>
      <c r="F86" s="10" t="s">
        <v>17</v>
      </c>
      <c r="G86" s="10" t="s">
        <v>17</v>
      </c>
    </row>
    <row r="87" spans="1:7" x14ac:dyDescent="0.25">
      <c r="A87" s="6" t="s">
        <v>103</v>
      </c>
      <c r="B87" s="7" t="s">
        <v>235</v>
      </c>
      <c r="C87" s="8">
        <v>240013.34</v>
      </c>
      <c r="D87" s="8">
        <v>29770.13</v>
      </c>
      <c r="E87" s="9">
        <v>0.124035314037128</v>
      </c>
      <c r="F87" s="10" t="s">
        <v>17</v>
      </c>
      <c r="G87" s="10" t="s">
        <v>17</v>
      </c>
    </row>
    <row r="88" spans="1:7" x14ac:dyDescent="0.25">
      <c r="A88" s="6" t="s">
        <v>104</v>
      </c>
      <c r="B88" s="7" t="s">
        <v>236</v>
      </c>
      <c r="C88" s="8">
        <v>225768.12</v>
      </c>
      <c r="D88" s="8">
        <v>78821.05</v>
      </c>
      <c r="E88" s="9">
        <v>0.34912391528086401</v>
      </c>
      <c r="F88" s="10" t="s">
        <v>17</v>
      </c>
      <c r="G88" s="10" t="s">
        <v>17</v>
      </c>
    </row>
    <row r="89" spans="1:7" x14ac:dyDescent="0.25">
      <c r="A89" s="6" t="s">
        <v>105</v>
      </c>
      <c r="B89" s="7" t="s">
        <v>305</v>
      </c>
      <c r="C89" s="8">
        <v>213009.75</v>
      </c>
      <c r="D89" s="8">
        <v>149044.09</v>
      </c>
      <c r="E89" s="9">
        <v>0.69970548296498203</v>
      </c>
      <c r="F89" s="10" t="s">
        <v>17</v>
      </c>
      <c r="G89" s="10" t="s">
        <v>17</v>
      </c>
    </row>
    <row r="90" spans="1:7" x14ac:dyDescent="0.25">
      <c r="A90" s="12" t="s">
        <v>106</v>
      </c>
      <c r="B90" s="13" t="s">
        <v>230</v>
      </c>
      <c r="C90" s="14">
        <v>203651.18</v>
      </c>
      <c r="D90" s="14">
        <v>43809.919999999998</v>
      </c>
      <c r="E90" s="15">
        <v>0.215122347928453</v>
      </c>
      <c r="F90" s="16" t="s">
        <v>292</v>
      </c>
      <c r="G90" s="17">
        <f>(D90 / F90)</f>
        <v>11.840518918918919</v>
      </c>
    </row>
    <row r="91" spans="1:7" x14ac:dyDescent="0.25">
      <c r="A91" s="6" t="s">
        <v>107</v>
      </c>
      <c r="B91" s="7" t="s">
        <v>307</v>
      </c>
      <c r="C91" s="8">
        <v>201186.08</v>
      </c>
      <c r="D91" s="8">
        <v>130187.95</v>
      </c>
      <c r="E91" s="9">
        <v>0.64710217525983904</v>
      </c>
      <c r="F91" s="10" t="s">
        <v>17</v>
      </c>
      <c r="G91" s="10" t="s">
        <v>17</v>
      </c>
    </row>
    <row r="92" spans="1:7" x14ac:dyDescent="0.25">
      <c r="A92" s="6" t="s">
        <v>108</v>
      </c>
      <c r="B92" s="7" t="s">
        <v>238</v>
      </c>
      <c r="C92" s="8">
        <v>200798.97</v>
      </c>
      <c r="D92" s="8">
        <v>12052.08</v>
      </c>
      <c r="E92" s="9">
        <v>6.0020626599827702E-2</v>
      </c>
      <c r="F92" s="10" t="s">
        <v>17</v>
      </c>
      <c r="G92" s="10" t="s">
        <v>17</v>
      </c>
    </row>
    <row r="93" spans="1:7" x14ac:dyDescent="0.25">
      <c r="A93" s="6" t="s">
        <v>109</v>
      </c>
      <c r="B93" s="7" t="s">
        <v>239</v>
      </c>
      <c r="C93" s="8">
        <v>191916.63</v>
      </c>
      <c r="D93" s="8">
        <v>159787.15</v>
      </c>
      <c r="E93" s="9">
        <v>0.83258626415021997</v>
      </c>
      <c r="F93" s="10" t="s">
        <v>17</v>
      </c>
      <c r="G93" s="10" t="s">
        <v>17</v>
      </c>
    </row>
    <row r="94" spans="1:7" x14ac:dyDescent="0.25">
      <c r="A94" s="6" t="s">
        <v>110</v>
      </c>
      <c r="B94" s="7" t="s">
        <v>275</v>
      </c>
      <c r="C94" s="8">
        <v>171561.94</v>
      </c>
      <c r="D94" s="8">
        <v>12265.42</v>
      </c>
      <c r="E94" s="9">
        <v>7.1492663232882503E-2</v>
      </c>
      <c r="F94" s="10" t="s">
        <v>17</v>
      </c>
      <c r="G94" s="10" t="s">
        <v>17</v>
      </c>
    </row>
    <row r="95" spans="1:7" x14ac:dyDescent="0.25">
      <c r="A95" s="6" t="s">
        <v>111</v>
      </c>
      <c r="B95" s="7" t="s">
        <v>240</v>
      </c>
      <c r="C95" s="8">
        <v>162365.49</v>
      </c>
      <c r="D95" s="8">
        <v>12008.09</v>
      </c>
      <c r="E95" s="9">
        <v>7.3957156782515798E-2</v>
      </c>
      <c r="F95" s="10" t="s">
        <v>17</v>
      </c>
      <c r="G95" s="10" t="s">
        <v>17</v>
      </c>
    </row>
    <row r="96" spans="1:7" x14ac:dyDescent="0.25">
      <c r="A96" s="6" t="s">
        <v>112</v>
      </c>
      <c r="B96" s="7" t="s">
        <v>276</v>
      </c>
      <c r="C96" s="8">
        <v>154387.12</v>
      </c>
      <c r="D96" s="8">
        <v>25473.87</v>
      </c>
      <c r="E96" s="9">
        <v>0.164999968909324</v>
      </c>
      <c r="F96" s="10" t="s">
        <v>17</v>
      </c>
      <c r="G96" s="10" t="s">
        <v>17</v>
      </c>
    </row>
    <row r="97" spans="1:7" x14ac:dyDescent="0.25">
      <c r="A97" s="6" t="s">
        <v>113</v>
      </c>
      <c r="B97" s="7" t="s">
        <v>243</v>
      </c>
      <c r="C97" s="8">
        <v>149063.6</v>
      </c>
      <c r="D97" s="8">
        <v>13830.65</v>
      </c>
      <c r="E97" s="9">
        <v>9.2783550108812604E-2</v>
      </c>
      <c r="F97" s="10" t="s">
        <v>17</v>
      </c>
      <c r="G97" s="10" t="s">
        <v>17</v>
      </c>
    </row>
    <row r="98" spans="1:7" x14ac:dyDescent="0.25">
      <c r="A98" s="6" t="s">
        <v>114</v>
      </c>
      <c r="B98" s="7" t="s">
        <v>241</v>
      </c>
      <c r="C98" s="8">
        <v>145252.99</v>
      </c>
      <c r="D98" s="8">
        <v>22365.45</v>
      </c>
      <c r="E98" s="9">
        <v>0.15397583209818999</v>
      </c>
      <c r="F98" s="10" t="s">
        <v>16</v>
      </c>
      <c r="G98" s="11">
        <f>(D98 / F98)</f>
        <v>62.473324022346368</v>
      </c>
    </row>
    <row r="99" spans="1:7" x14ac:dyDescent="0.25">
      <c r="A99" s="6" t="s">
        <v>115</v>
      </c>
      <c r="B99" s="7" t="s">
        <v>244</v>
      </c>
      <c r="C99" s="8">
        <v>143500.69</v>
      </c>
      <c r="D99" s="8">
        <v>6122.88</v>
      </c>
      <c r="E99" s="9">
        <v>4.2667948147148298E-2</v>
      </c>
      <c r="F99" s="10" t="s">
        <v>17</v>
      </c>
      <c r="G99" s="10" t="s">
        <v>17</v>
      </c>
    </row>
    <row r="100" spans="1:7" x14ac:dyDescent="0.25">
      <c r="A100" s="6" t="s">
        <v>116</v>
      </c>
      <c r="B100" s="7" t="s">
        <v>320</v>
      </c>
      <c r="C100" s="8">
        <v>139018.97</v>
      </c>
      <c r="D100" s="8">
        <v>139018.97</v>
      </c>
      <c r="E100" s="9">
        <v>1</v>
      </c>
      <c r="F100" s="10" t="s">
        <v>17</v>
      </c>
      <c r="G100" s="10" t="s">
        <v>17</v>
      </c>
    </row>
    <row r="101" spans="1:7" x14ac:dyDescent="0.25">
      <c r="A101" s="6" t="s">
        <v>117</v>
      </c>
      <c r="B101" s="7" t="s">
        <v>246</v>
      </c>
      <c r="C101" s="8">
        <v>135203.89000000001</v>
      </c>
      <c r="D101" s="8">
        <v>10915.99</v>
      </c>
      <c r="E101" s="9">
        <v>8.0737248018529606E-2</v>
      </c>
      <c r="F101" s="10" t="s">
        <v>17</v>
      </c>
      <c r="G101" s="10" t="s">
        <v>17</v>
      </c>
    </row>
    <row r="102" spans="1:7" x14ac:dyDescent="0.25">
      <c r="A102" s="6" t="s">
        <v>118</v>
      </c>
      <c r="B102" s="7" t="s">
        <v>242</v>
      </c>
      <c r="C102" s="8">
        <v>132910.88</v>
      </c>
      <c r="D102" s="8">
        <v>48020.12</v>
      </c>
      <c r="E102" s="9">
        <v>0.36129562907114898</v>
      </c>
      <c r="F102" s="10" t="s">
        <v>17</v>
      </c>
      <c r="G102" s="10" t="s">
        <v>17</v>
      </c>
    </row>
    <row r="103" spans="1:7" x14ac:dyDescent="0.25">
      <c r="A103" s="6" t="s">
        <v>119</v>
      </c>
      <c r="B103" s="7" t="s">
        <v>245</v>
      </c>
      <c r="C103" s="8">
        <v>128226.41</v>
      </c>
      <c r="D103" s="8">
        <v>8259.73</v>
      </c>
      <c r="E103" s="9">
        <v>6.4415201205430303E-2</v>
      </c>
      <c r="F103" s="10" t="s">
        <v>17</v>
      </c>
      <c r="G103" s="10" t="s">
        <v>17</v>
      </c>
    </row>
    <row r="104" spans="1:7" x14ac:dyDescent="0.25">
      <c r="A104" s="6" t="s">
        <v>120</v>
      </c>
      <c r="B104" s="7" t="s">
        <v>247</v>
      </c>
      <c r="C104" s="8">
        <v>126498.59</v>
      </c>
      <c r="D104" s="8">
        <v>20311.169999999998</v>
      </c>
      <c r="E104" s="9">
        <v>0.16056439838578401</v>
      </c>
      <c r="F104" s="10" t="s">
        <v>17</v>
      </c>
      <c r="G104" s="10" t="s">
        <v>17</v>
      </c>
    </row>
    <row r="105" spans="1:7" x14ac:dyDescent="0.25">
      <c r="A105" s="6" t="s">
        <v>121</v>
      </c>
      <c r="B105" s="7" t="s">
        <v>306</v>
      </c>
      <c r="C105" s="8">
        <v>126405.84</v>
      </c>
      <c r="D105" s="8">
        <v>16210.51</v>
      </c>
      <c r="E105" s="9">
        <v>0.128241780601276</v>
      </c>
      <c r="F105" s="10" t="s">
        <v>17</v>
      </c>
      <c r="G105" s="10" t="s">
        <v>17</v>
      </c>
    </row>
    <row r="106" spans="1:7" x14ac:dyDescent="0.25">
      <c r="A106" s="6" t="s">
        <v>122</v>
      </c>
      <c r="B106" s="7" t="s">
        <v>248</v>
      </c>
      <c r="C106" s="8">
        <v>113970.11</v>
      </c>
      <c r="D106" s="8">
        <v>10871.13</v>
      </c>
      <c r="E106" s="9">
        <v>9.5385798960797699E-2</v>
      </c>
      <c r="F106" s="10" t="s">
        <v>17</v>
      </c>
      <c r="G106" s="10" t="s">
        <v>17</v>
      </c>
    </row>
    <row r="107" spans="1:7" x14ac:dyDescent="0.25">
      <c r="A107" s="6" t="s">
        <v>123</v>
      </c>
      <c r="B107" s="7" t="s">
        <v>295</v>
      </c>
      <c r="C107" s="8">
        <v>110392.44</v>
      </c>
      <c r="D107" s="8">
        <v>12150.3</v>
      </c>
      <c r="E107" s="9">
        <v>0.110064602249937</v>
      </c>
      <c r="F107" s="10" t="s">
        <v>17</v>
      </c>
      <c r="G107" s="10" t="s">
        <v>17</v>
      </c>
    </row>
    <row r="108" spans="1:7" x14ac:dyDescent="0.25">
      <c r="A108" s="6" t="s">
        <v>124</v>
      </c>
      <c r="B108" s="7" t="s">
        <v>249</v>
      </c>
      <c r="C108" s="8">
        <v>101822.5</v>
      </c>
      <c r="D108" s="8">
        <v>16775.45</v>
      </c>
      <c r="E108" s="9">
        <v>0.16475189668295301</v>
      </c>
      <c r="F108" s="10" t="s">
        <v>17</v>
      </c>
      <c r="G108" s="10" t="s">
        <v>17</v>
      </c>
    </row>
    <row r="109" spans="1:7" x14ac:dyDescent="0.25">
      <c r="A109" s="6" t="s">
        <v>125</v>
      </c>
      <c r="B109" s="7" t="s">
        <v>309</v>
      </c>
      <c r="C109" s="8">
        <v>96645.08</v>
      </c>
      <c r="D109" s="8">
        <v>19193.3</v>
      </c>
      <c r="E109" s="9">
        <v>0.19859572779079901</v>
      </c>
      <c r="F109" s="10" t="s">
        <v>17</v>
      </c>
      <c r="G109" s="10" t="s">
        <v>17</v>
      </c>
    </row>
    <row r="110" spans="1:7" x14ac:dyDescent="0.25">
      <c r="A110" s="6" t="s">
        <v>126</v>
      </c>
      <c r="B110" s="7" t="s">
        <v>317</v>
      </c>
      <c r="C110" s="8">
        <v>89793.25</v>
      </c>
      <c r="D110" s="8">
        <v>596.53</v>
      </c>
      <c r="E110" s="9">
        <v>6.6433724138507096E-3</v>
      </c>
      <c r="F110" s="10" t="s">
        <v>17</v>
      </c>
      <c r="G110" s="10" t="s">
        <v>17</v>
      </c>
    </row>
    <row r="111" spans="1:7" x14ac:dyDescent="0.25">
      <c r="A111" s="6" t="s">
        <v>127</v>
      </c>
      <c r="B111" s="7" t="s">
        <v>253</v>
      </c>
      <c r="C111" s="8">
        <v>83263.41</v>
      </c>
      <c r="D111" s="8">
        <v>5971.3</v>
      </c>
      <c r="E111" s="9">
        <v>7.1715775272715804E-2</v>
      </c>
      <c r="F111" s="10" t="s">
        <v>17</v>
      </c>
      <c r="G111" s="10" t="s">
        <v>17</v>
      </c>
    </row>
    <row r="112" spans="1:7" x14ac:dyDescent="0.25">
      <c r="A112" s="6" t="s">
        <v>128</v>
      </c>
      <c r="B112" s="7" t="s">
        <v>230</v>
      </c>
      <c r="C112" s="8">
        <v>74267.33</v>
      </c>
      <c r="D112" s="8">
        <v>8472.31</v>
      </c>
      <c r="E112" s="9">
        <v>0.114078559172654</v>
      </c>
      <c r="F112" s="10" t="s">
        <v>17</v>
      </c>
      <c r="G112" s="10" t="s">
        <v>17</v>
      </c>
    </row>
    <row r="113" spans="1:7" x14ac:dyDescent="0.25">
      <c r="A113" s="6" t="s">
        <v>129</v>
      </c>
      <c r="B113" s="7" t="s">
        <v>255</v>
      </c>
      <c r="C113" s="8">
        <v>71800.66</v>
      </c>
      <c r="D113" s="8">
        <v>464.3</v>
      </c>
      <c r="E113" s="9">
        <v>6.4665143746589502E-3</v>
      </c>
      <c r="F113" s="10" t="s">
        <v>17</v>
      </c>
      <c r="G113" s="10" t="s">
        <v>17</v>
      </c>
    </row>
    <row r="114" spans="1:7" x14ac:dyDescent="0.25">
      <c r="A114" s="6" t="s">
        <v>130</v>
      </c>
      <c r="B114" s="7" t="s">
        <v>256</v>
      </c>
      <c r="C114" s="8">
        <v>71645.95</v>
      </c>
      <c r="D114" s="8">
        <v>7222.83</v>
      </c>
      <c r="E114" s="9">
        <v>0.10081281635598401</v>
      </c>
      <c r="F114" s="10" t="s">
        <v>17</v>
      </c>
      <c r="G114" s="10" t="s">
        <v>17</v>
      </c>
    </row>
    <row r="115" spans="1:7" x14ac:dyDescent="0.25">
      <c r="A115" s="6" t="s">
        <v>131</v>
      </c>
      <c r="B115" s="7" t="s">
        <v>321</v>
      </c>
      <c r="C115" s="8">
        <v>70963.8</v>
      </c>
      <c r="D115" s="8">
        <v>41060.78</v>
      </c>
      <c r="E115" s="9">
        <v>0.57861585766263901</v>
      </c>
      <c r="F115" s="10" t="s">
        <v>17</v>
      </c>
      <c r="G115" s="10" t="s">
        <v>17</v>
      </c>
    </row>
    <row r="116" spans="1:7" x14ac:dyDescent="0.25">
      <c r="A116" s="6" t="s">
        <v>132</v>
      </c>
      <c r="B116" s="7" t="s">
        <v>258</v>
      </c>
      <c r="C116" s="8">
        <v>66585.84</v>
      </c>
      <c r="D116" s="8">
        <v>1729.48</v>
      </c>
      <c r="E116" s="9">
        <v>2.5973690502365102E-2</v>
      </c>
      <c r="F116" s="10" t="s">
        <v>17</v>
      </c>
      <c r="G116" s="10" t="s">
        <v>17</v>
      </c>
    </row>
    <row r="117" spans="1:7" x14ac:dyDescent="0.25">
      <c r="A117" s="6" t="s">
        <v>133</v>
      </c>
      <c r="B117" s="7" t="s">
        <v>257</v>
      </c>
      <c r="C117" s="8">
        <v>56299.1</v>
      </c>
      <c r="D117" s="8">
        <v>1553.67</v>
      </c>
      <c r="E117" s="9">
        <v>2.7596711137478198E-2</v>
      </c>
      <c r="F117" s="10" t="s">
        <v>17</v>
      </c>
      <c r="G117" s="10" t="s">
        <v>17</v>
      </c>
    </row>
    <row r="118" spans="1:7" x14ac:dyDescent="0.25">
      <c r="A118" s="6" t="s">
        <v>134</v>
      </c>
      <c r="B118" s="7" t="s">
        <v>259</v>
      </c>
      <c r="C118" s="8">
        <v>53991.18</v>
      </c>
      <c r="D118" s="8">
        <v>6894.87</v>
      </c>
      <c r="E118" s="9">
        <v>0.12770363603833099</v>
      </c>
      <c r="F118" s="10" t="s">
        <v>17</v>
      </c>
      <c r="G118" s="10" t="s">
        <v>17</v>
      </c>
    </row>
    <row r="119" spans="1:7" x14ac:dyDescent="0.25">
      <c r="A119" s="6" t="s">
        <v>135</v>
      </c>
      <c r="B119" s="7" t="s">
        <v>262</v>
      </c>
      <c r="C119" s="8">
        <v>50227.33</v>
      </c>
      <c r="D119" s="8">
        <v>8853.67</v>
      </c>
      <c r="E119" s="9">
        <v>0.17627196189803401</v>
      </c>
      <c r="F119" s="10" t="s">
        <v>17</v>
      </c>
      <c r="G119" s="10" t="s">
        <v>17</v>
      </c>
    </row>
    <row r="120" spans="1:7" x14ac:dyDescent="0.25">
      <c r="A120" s="6" t="s">
        <v>136</v>
      </c>
      <c r="B120" s="7" t="s">
        <v>291</v>
      </c>
      <c r="C120" s="8">
        <v>49262.06</v>
      </c>
      <c r="D120" s="8">
        <v>11291.78</v>
      </c>
      <c r="E120" s="9">
        <v>0.22921859134595701</v>
      </c>
      <c r="F120" s="10" t="s">
        <v>17</v>
      </c>
      <c r="G120" s="10" t="s">
        <v>17</v>
      </c>
    </row>
    <row r="121" spans="1:7" x14ac:dyDescent="0.25">
      <c r="A121" s="6" t="s">
        <v>137</v>
      </c>
      <c r="B121" s="7" t="s">
        <v>260</v>
      </c>
      <c r="C121" s="8">
        <v>41419.910000000003</v>
      </c>
      <c r="D121" s="8">
        <v>345.25</v>
      </c>
      <c r="E121" s="9">
        <v>8.3353633554491095E-3</v>
      </c>
      <c r="F121" s="10" t="s">
        <v>17</v>
      </c>
      <c r="G121" s="10" t="s">
        <v>17</v>
      </c>
    </row>
    <row r="122" spans="1:7" x14ac:dyDescent="0.25">
      <c r="A122" s="6" t="s">
        <v>138</v>
      </c>
      <c r="B122" s="7" t="s">
        <v>283</v>
      </c>
      <c r="C122" s="8">
        <v>41407.370000000003</v>
      </c>
      <c r="D122" s="8">
        <v>509.96</v>
      </c>
      <c r="E122" s="9">
        <v>1.2315681966761E-2</v>
      </c>
      <c r="F122" s="10" t="s">
        <v>17</v>
      </c>
      <c r="G122" s="10" t="s">
        <v>17</v>
      </c>
    </row>
    <row r="123" spans="1:7" x14ac:dyDescent="0.25">
      <c r="A123" s="6" t="s">
        <v>139</v>
      </c>
      <c r="B123" s="7" t="s">
        <v>310</v>
      </c>
      <c r="C123" s="8">
        <v>39904.720000000001</v>
      </c>
      <c r="D123" s="8">
        <v>9536.77</v>
      </c>
      <c r="E123" s="9">
        <v>0.23898852065620299</v>
      </c>
      <c r="F123" s="10" t="s">
        <v>17</v>
      </c>
      <c r="G123" s="10" t="s">
        <v>17</v>
      </c>
    </row>
    <row r="124" spans="1:7" x14ac:dyDescent="0.25">
      <c r="A124" s="6" t="s">
        <v>140</v>
      </c>
      <c r="B124" s="7" t="s">
        <v>263</v>
      </c>
      <c r="C124" s="8">
        <v>37385.410000000003</v>
      </c>
      <c r="D124" s="8">
        <v>990.23</v>
      </c>
      <c r="E124" s="9">
        <v>2.6487070758352001E-2</v>
      </c>
      <c r="F124" s="10" t="s">
        <v>17</v>
      </c>
      <c r="G124" s="10" t="s">
        <v>17</v>
      </c>
    </row>
    <row r="125" spans="1:7" x14ac:dyDescent="0.25">
      <c r="A125" s="6" t="s">
        <v>141</v>
      </c>
      <c r="B125" s="7" t="s">
        <v>251</v>
      </c>
      <c r="C125" s="8">
        <v>36456.71</v>
      </c>
      <c r="D125" s="8">
        <v>1935.64</v>
      </c>
      <c r="E125" s="9">
        <v>5.3094204057360102E-2</v>
      </c>
      <c r="F125" s="10" t="s">
        <v>17</v>
      </c>
      <c r="G125" s="10" t="s">
        <v>17</v>
      </c>
    </row>
    <row r="126" spans="1:7" x14ac:dyDescent="0.25">
      <c r="A126" s="6" t="s">
        <v>142</v>
      </c>
      <c r="B126" s="7" t="s">
        <v>266</v>
      </c>
      <c r="C126" s="8">
        <v>34015.19</v>
      </c>
      <c r="D126" s="8">
        <v>12397.77</v>
      </c>
      <c r="E126" s="9">
        <v>0.36447745845312102</v>
      </c>
      <c r="F126" s="10" t="s">
        <v>17</v>
      </c>
      <c r="G126" s="10" t="s">
        <v>17</v>
      </c>
    </row>
    <row r="127" spans="1:7" x14ac:dyDescent="0.25">
      <c r="A127" s="6" t="s">
        <v>143</v>
      </c>
      <c r="B127" s="7" t="s">
        <v>311</v>
      </c>
      <c r="C127" s="8">
        <v>33453.980000000003</v>
      </c>
      <c r="D127" s="8">
        <v>3507.37</v>
      </c>
      <c r="E127" s="9">
        <v>0.104841636182003</v>
      </c>
      <c r="F127" s="10" t="s">
        <v>17</v>
      </c>
      <c r="G127" s="10" t="s">
        <v>17</v>
      </c>
    </row>
    <row r="128" spans="1:7" x14ac:dyDescent="0.25">
      <c r="A128" s="6" t="s">
        <v>144</v>
      </c>
      <c r="B128" s="7" t="s">
        <v>265</v>
      </c>
      <c r="C128" s="8">
        <v>31552.2</v>
      </c>
      <c r="D128" s="8">
        <v>5839.28</v>
      </c>
      <c r="E128" s="9">
        <v>0.18506728532400299</v>
      </c>
      <c r="F128" s="10" t="s">
        <v>17</v>
      </c>
      <c r="G128" s="10" t="s">
        <v>17</v>
      </c>
    </row>
    <row r="129" spans="1:7" x14ac:dyDescent="0.25">
      <c r="A129" s="6" t="s">
        <v>145</v>
      </c>
      <c r="B129" s="7" t="s">
        <v>264</v>
      </c>
      <c r="C129" s="8">
        <v>30921.11</v>
      </c>
      <c r="D129" s="8">
        <v>2289.81</v>
      </c>
      <c r="E129" s="9">
        <v>7.4053292394742606E-2</v>
      </c>
      <c r="F129" s="10" t="s">
        <v>17</v>
      </c>
      <c r="G129" s="10" t="s">
        <v>17</v>
      </c>
    </row>
    <row r="130" spans="1:7" x14ac:dyDescent="0.25">
      <c r="A130" s="6" t="s">
        <v>146</v>
      </c>
      <c r="B130" s="7" t="s">
        <v>267</v>
      </c>
      <c r="C130" s="8">
        <v>17319.48</v>
      </c>
      <c r="D130" s="8">
        <v>1233.5999999999999</v>
      </c>
      <c r="E130" s="9">
        <v>7.1226156905403598E-2</v>
      </c>
      <c r="F130" s="10" t="s">
        <v>17</v>
      </c>
      <c r="G130" s="10" t="s">
        <v>17</v>
      </c>
    </row>
    <row r="131" spans="1:7" x14ac:dyDescent="0.25">
      <c r="A131" s="6" t="s">
        <v>147</v>
      </c>
      <c r="B131" s="7" t="s">
        <v>268</v>
      </c>
      <c r="C131" s="8">
        <v>17095.25</v>
      </c>
      <c r="D131" s="8">
        <v>870.29</v>
      </c>
      <c r="E131" s="9">
        <v>5.0908293239350103E-2</v>
      </c>
      <c r="F131" s="10" t="s">
        <v>17</v>
      </c>
      <c r="G131" s="10" t="s">
        <v>17</v>
      </c>
    </row>
    <row r="132" spans="1:7" x14ac:dyDescent="0.25">
      <c r="A132" s="6" t="s">
        <v>148</v>
      </c>
      <c r="B132" s="7" t="s">
        <v>269</v>
      </c>
      <c r="C132" s="8">
        <v>14666.97</v>
      </c>
      <c r="D132" s="8">
        <v>1490.95</v>
      </c>
      <c r="E132" s="9">
        <v>0.101653579437334</v>
      </c>
      <c r="F132" s="10" t="s">
        <v>17</v>
      </c>
      <c r="G132" s="10" t="s">
        <v>17</v>
      </c>
    </row>
    <row r="133" spans="1:7" x14ac:dyDescent="0.25">
      <c r="A133" s="6" t="s">
        <v>149</v>
      </c>
      <c r="B133" s="7" t="s">
        <v>270</v>
      </c>
      <c r="C133" s="8">
        <v>14522.93</v>
      </c>
      <c r="D133" s="8">
        <v>137.25</v>
      </c>
      <c r="E133" s="9">
        <v>9.4505723018702206E-3</v>
      </c>
      <c r="F133" s="10" t="s">
        <v>17</v>
      </c>
      <c r="G133" s="10" t="s">
        <v>17</v>
      </c>
    </row>
    <row r="134" spans="1:7" x14ac:dyDescent="0.25">
      <c r="A134" s="6" t="s">
        <v>150</v>
      </c>
      <c r="B134" s="7" t="s">
        <v>277</v>
      </c>
      <c r="C134" s="8">
        <v>13652.99</v>
      </c>
      <c r="D134" s="8">
        <v>3345.19</v>
      </c>
      <c r="E134" s="9">
        <v>0.24501519447388401</v>
      </c>
      <c r="F134" s="10" t="s">
        <v>17</v>
      </c>
      <c r="G134" s="10" t="s">
        <v>17</v>
      </c>
    </row>
    <row r="135" spans="1:7" x14ac:dyDescent="0.25">
      <c r="A135" s="6" t="s">
        <v>151</v>
      </c>
      <c r="B135" s="7" t="s">
        <v>286</v>
      </c>
      <c r="C135" s="8">
        <v>7757.66</v>
      </c>
      <c r="D135" s="8">
        <v>81.739999999999995</v>
      </c>
      <c r="E135" s="9">
        <v>1.0536682453214E-2</v>
      </c>
      <c r="F135" s="10" t="s">
        <v>17</v>
      </c>
      <c r="G135" s="10" t="s">
        <v>17</v>
      </c>
    </row>
    <row r="136" spans="1:7" x14ac:dyDescent="0.25">
      <c r="A136" s="6" t="s">
        <v>152</v>
      </c>
      <c r="B136" s="7" t="s">
        <v>322</v>
      </c>
      <c r="C136" s="8">
        <v>3663.53</v>
      </c>
      <c r="D136" s="8">
        <v>37.25</v>
      </c>
      <c r="E136" s="9">
        <v>1.01677889904E-2</v>
      </c>
      <c r="F136" s="10" t="s">
        <v>17</v>
      </c>
      <c r="G136" s="10" t="s">
        <v>17</v>
      </c>
    </row>
    <row r="137" spans="1:7" x14ac:dyDescent="0.25">
      <c r="A137" s="6" t="s">
        <v>153</v>
      </c>
      <c r="B137" s="7" t="s">
        <v>312</v>
      </c>
      <c r="C137" s="8">
        <v>2455.89</v>
      </c>
      <c r="D137" s="8">
        <v>55.2</v>
      </c>
      <c r="E137" s="9">
        <v>2.24765767196414E-2</v>
      </c>
      <c r="F137" s="10" t="s">
        <v>17</v>
      </c>
      <c r="G137" s="10" t="s">
        <v>17</v>
      </c>
    </row>
    <row r="138" spans="1:7" x14ac:dyDescent="0.25">
      <c r="A138" s="6" t="s">
        <v>154</v>
      </c>
      <c r="B138" s="7" t="s">
        <v>313</v>
      </c>
      <c r="C138" s="8">
        <v>1904.56</v>
      </c>
      <c r="D138" s="8">
        <v>343.65</v>
      </c>
      <c r="E138" s="9">
        <v>0.18043537614987201</v>
      </c>
      <c r="F138" s="10" t="s">
        <v>17</v>
      </c>
      <c r="G138" s="10" t="s">
        <v>17</v>
      </c>
    </row>
    <row r="139" spans="1:7" x14ac:dyDescent="0.25">
      <c r="A139" s="6" t="s">
        <v>155</v>
      </c>
      <c r="B139" s="7" t="s">
        <v>323</v>
      </c>
      <c r="C139" s="8">
        <v>1000.03</v>
      </c>
      <c r="D139" s="8">
        <v>1000.03</v>
      </c>
      <c r="E139" s="9">
        <v>1</v>
      </c>
      <c r="F139" s="10" t="s">
        <v>17</v>
      </c>
      <c r="G139" s="10" t="s">
        <v>17</v>
      </c>
    </row>
    <row r="140" spans="1:7" x14ac:dyDescent="0.25">
      <c r="A140" s="6" t="s">
        <v>156</v>
      </c>
      <c r="B140" s="7" t="s">
        <v>324</v>
      </c>
      <c r="C140" s="8">
        <v>494.88</v>
      </c>
      <c r="D140" s="8">
        <v>81.819999999999993</v>
      </c>
      <c r="E140" s="9">
        <v>0.16533301002263201</v>
      </c>
      <c r="F140" s="10" t="s">
        <v>17</v>
      </c>
      <c r="G140" s="10" t="s">
        <v>17</v>
      </c>
    </row>
    <row r="141" spans="1:7" x14ac:dyDescent="0.25">
      <c r="A141" s="6" t="s">
        <v>328</v>
      </c>
      <c r="B141" s="7" t="s">
        <v>318</v>
      </c>
      <c r="C141" s="8">
        <v>299.95</v>
      </c>
      <c r="D141" s="8">
        <v>299.95</v>
      </c>
      <c r="E141" s="9">
        <v>1</v>
      </c>
      <c r="F141" s="10" t="s">
        <v>17</v>
      </c>
      <c r="G141" s="10" t="s">
        <v>17</v>
      </c>
    </row>
    <row r="142" spans="1:7" x14ac:dyDescent="0.25">
      <c r="A142" s="6" t="s">
        <v>330</v>
      </c>
      <c r="B142" s="7" t="s">
        <v>319</v>
      </c>
      <c r="C142" s="8">
        <v>0</v>
      </c>
      <c r="D142" s="8">
        <v>0</v>
      </c>
      <c r="E142" s="9">
        <v>0</v>
      </c>
      <c r="F142" s="10" t="s">
        <v>17</v>
      </c>
      <c r="G142" s="10" t="s">
        <v>17</v>
      </c>
    </row>
    <row r="143" spans="1:7" x14ac:dyDescent="0.25">
      <c r="C143" s="8"/>
      <c r="D143" s="8"/>
      <c r="E143" s="9"/>
    </row>
    <row r="144" spans="1:7" x14ac:dyDescent="0.25">
      <c r="C144" s="8"/>
      <c r="D144" s="8"/>
      <c r="E144" s="9"/>
    </row>
    <row r="145" spans="1:7" x14ac:dyDescent="0.25">
      <c r="C145" s="8"/>
      <c r="D145" s="8"/>
      <c r="E145" s="9"/>
    </row>
    <row r="146" spans="1:7" x14ac:dyDescent="0.25">
      <c r="C146" s="8"/>
      <c r="D146" s="8" t="s">
        <v>298</v>
      </c>
      <c r="E146" s="9"/>
    </row>
    <row r="147" spans="1:7" ht="31.5" x14ac:dyDescent="0.25">
      <c r="A147" s="18"/>
      <c r="B147" s="19" t="s">
        <v>157</v>
      </c>
      <c r="C147" s="3" t="s">
        <v>158</v>
      </c>
      <c r="D147" s="3" t="s">
        <v>159</v>
      </c>
      <c r="E147" s="4" t="s">
        <v>160</v>
      </c>
      <c r="F147" s="5" t="s">
        <v>161</v>
      </c>
      <c r="G147" s="5" t="s">
        <v>162</v>
      </c>
    </row>
    <row r="148" spans="1:7" x14ac:dyDescent="0.25">
      <c r="A148" s="6" t="s">
        <v>18</v>
      </c>
      <c r="B148" s="7" t="s">
        <v>315</v>
      </c>
      <c r="C148" s="8">
        <v>3000403.65</v>
      </c>
      <c r="D148" s="8">
        <v>3000403.65</v>
      </c>
      <c r="E148" s="9">
        <v>1</v>
      </c>
      <c r="F148" s="10" t="s">
        <v>17</v>
      </c>
      <c r="G148" s="10" t="s">
        <v>17</v>
      </c>
    </row>
    <row r="149" spans="1:7" x14ac:dyDescent="0.25">
      <c r="A149" s="6" t="s">
        <v>19</v>
      </c>
      <c r="B149" s="7" t="s">
        <v>183</v>
      </c>
      <c r="C149" s="8">
        <v>1276723.75</v>
      </c>
      <c r="D149" s="8">
        <v>203307.38</v>
      </c>
      <c r="E149" s="9">
        <v>0.159241480390727</v>
      </c>
      <c r="F149" s="10" t="s">
        <v>17</v>
      </c>
      <c r="G149" s="10" t="s">
        <v>17</v>
      </c>
    </row>
    <row r="150" spans="1:7" x14ac:dyDescent="0.25">
      <c r="A150" s="6" t="s">
        <v>20</v>
      </c>
      <c r="B150" s="7" t="s">
        <v>165</v>
      </c>
      <c r="C150" s="8">
        <v>1126889.96</v>
      </c>
      <c r="D150" s="8">
        <v>1117505.5</v>
      </c>
      <c r="E150" s="9">
        <v>0.99167224810486398</v>
      </c>
      <c r="F150" s="10" t="s">
        <v>17</v>
      </c>
      <c r="G150" s="10" t="s">
        <v>17</v>
      </c>
    </row>
    <row r="151" spans="1:7" x14ac:dyDescent="0.25">
      <c r="A151" s="6" t="s">
        <v>21</v>
      </c>
      <c r="B151" s="7" t="s">
        <v>244</v>
      </c>
      <c r="C151" s="8">
        <v>976774.8</v>
      </c>
      <c r="D151" s="8">
        <v>751.16</v>
      </c>
      <c r="E151" s="9">
        <v>7.6902065860011903E-4</v>
      </c>
      <c r="F151" s="10" t="s">
        <v>17</v>
      </c>
      <c r="G151" s="10" t="s">
        <v>17</v>
      </c>
    </row>
    <row r="152" spans="1:7" x14ac:dyDescent="0.25">
      <c r="A152" s="6" t="s">
        <v>22</v>
      </c>
      <c r="B152" s="7" t="s">
        <v>278</v>
      </c>
      <c r="C152" s="8">
        <v>689382.76</v>
      </c>
      <c r="D152" s="8">
        <v>292167.09000000003</v>
      </c>
      <c r="E152" s="9">
        <v>0.42380968447774903</v>
      </c>
      <c r="F152" s="10" t="s">
        <v>17</v>
      </c>
      <c r="G152" s="10" t="s">
        <v>17</v>
      </c>
    </row>
    <row r="153" spans="1:7" x14ac:dyDescent="0.25">
      <c r="A153" s="6" t="s">
        <v>23</v>
      </c>
      <c r="B153" s="7" t="s">
        <v>325</v>
      </c>
      <c r="C153" s="8">
        <v>589926.85</v>
      </c>
      <c r="D153" s="8">
        <v>589926.85</v>
      </c>
      <c r="E153" s="9">
        <v>1</v>
      </c>
      <c r="F153" s="10" t="s">
        <v>17</v>
      </c>
      <c r="G153" s="10" t="s">
        <v>17</v>
      </c>
    </row>
    <row r="154" spans="1:7" x14ac:dyDescent="0.25">
      <c r="A154" s="6" t="s">
        <v>24</v>
      </c>
      <c r="B154" s="7" t="s">
        <v>182</v>
      </c>
      <c r="C154" s="8">
        <v>516677.38</v>
      </c>
      <c r="D154" s="8">
        <v>516677.38</v>
      </c>
      <c r="E154" s="9">
        <v>1</v>
      </c>
      <c r="F154" s="10" t="s">
        <v>17</v>
      </c>
      <c r="G154" s="10" t="s">
        <v>17</v>
      </c>
    </row>
    <row r="155" spans="1:7" x14ac:dyDescent="0.25">
      <c r="A155" s="6" t="s">
        <v>25</v>
      </c>
      <c r="B155" s="7" t="s">
        <v>189</v>
      </c>
      <c r="C155" s="8">
        <v>298546.5</v>
      </c>
      <c r="D155" s="8">
        <v>298546.5</v>
      </c>
      <c r="E155" s="9">
        <v>1</v>
      </c>
      <c r="F155" s="10" t="s">
        <v>17</v>
      </c>
      <c r="G155" s="10" t="s">
        <v>17</v>
      </c>
    </row>
    <row r="156" spans="1:7" x14ac:dyDescent="0.25">
      <c r="A156" s="6" t="s">
        <v>26</v>
      </c>
      <c r="B156" s="7" t="s">
        <v>280</v>
      </c>
      <c r="C156" s="8">
        <v>212739</v>
      </c>
      <c r="D156" s="8">
        <v>887.74</v>
      </c>
      <c r="E156" s="9">
        <v>4.1729067072798099E-3</v>
      </c>
      <c r="F156" s="10" t="s">
        <v>17</v>
      </c>
      <c r="G156" s="10" t="s">
        <v>17</v>
      </c>
    </row>
    <row r="157" spans="1:7" x14ac:dyDescent="0.25">
      <c r="A157" s="6" t="s">
        <v>27</v>
      </c>
      <c r="B157" s="7" t="s">
        <v>173</v>
      </c>
      <c r="C157" s="8">
        <v>211607.36</v>
      </c>
      <c r="D157" s="8">
        <v>28542.28</v>
      </c>
      <c r="E157" s="9">
        <v>0.134883210111406</v>
      </c>
      <c r="F157" s="10" t="s">
        <v>17</v>
      </c>
      <c r="G157" s="10" t="s">
        <v>17</v>
      </c>
    </row>
    <row r="158" spans="1:7" x14ac:dyDescent="0.25">
      <c r="A158" s="6" t="s">
        <v>28</v>
      </c>
      <c r="B158" s="7" t="s">
        <v>205</v>
      </c>
      <c r="C158" s="8">
        <v>206459.39</v>
      </c>
      <c r="D158" s="8">
        <v>23302.01</v>
      </c>
      <c r="E158" s="9">
        <v>0.112864859282981</v>
      </c>
      <c r="F158" s="10" t="s">
        <v>17</v>
      </c>
      <c r="G158" s="10" t="s">
        <v>17</v>
      </c>
    </row>
    <row r="159" spans="1:7" x14ac:dyDescent="0.25">
      <c r="A159" s="6" t="s">
        <v>29</v>
      </c>
      <c r="B159" s="7" t="s">
        <v>186</v>
      </c>
      <c r="C159" s="8">
        <v>202259.31</v>
      </c>
      <c r="D159" s="8">
        <v>202259.31</v>
      </c>
      <c r="E159" s="9">
        <v>1</v>
      </c>
      <c r="F159" s="10" t="s">
        <v>17</v>
      </c>
      <c r="G159" s="10" t="s">
        <v>17</v>
      </c>
    </row>
    <row r="160" spans="1:7" x14ac:dyDescent="0.25">
      <c r="A160" s="6" t="s">
        <v>30</v>
      </c>
      <c r="B160" s="7" t="s">
        <v>224</v>
      </c>
      <c r="C160" s="8">
        <v>201402.96</v>
      </c>
      <c r="D160" s="8">
        <v>201402.96</v>
      </c>
      <c r="E160" s="9">
        <v>1</v>
      </c>
      <c r="F160" s="10" t="s">
        <v>17</v>
      </c>
      <c r="G160" s="10" t="s">
        <v>17</v>
      </c>
    </row>
    <row r="161" spans="1:7" x14ac:dyDescent="0.25">
      <c r="A161" s="6" t="s">
        <v>31</v>
      </c>
      <c r="B161" s="7" t="s">
        <v>195</v>
      </c>
      <c r="C161" s="8">
        <v>169711.61</v>
      </c>
      <c r="D161" s="8">
        <v>70930.44</v>
      </c>
      <c r="E161" s="9">
        <v>0.41794689237819399</v>
      </c>
      <c r="F161" s="10" t="s">
        <v>17</v>
      </c>
      <c r="G161" s="10" t="s">
        <v>17</v>
      </c>
    </row>
    <row r="162" spans="1:7" x14ac:dyDescent="0.25">
      <c r="A162" s="6" t="s">
        <v>32</v>
      </c>
      <c r="B162" s="7" t="s">
        <v>180</v>
      </c>
      <c r="C162" s="8">
        <v>158270.04999999999</v>
      </c>
      <c r="D162" s="8">
        <v>1251.26</v>
      </c>
      <c r="E162" s="9">
        <v>7.9058545820892799E-3</v>
      </c>
      <c r="F162" s="10" t="s">
        <v>17</v>
      </c>
      <c r="G162" s="10" t="s">
        <v>17</v>
      </c>
    </row>
    <row r="163" spans="1:7" x14ac:dyDescent="0.25">
      <c r="A163" s="6" t="s">
        <v>33</v>
      </c>
      <c r="B163" s="7" t="s">
        <v>163</v>
      </c>
      <c r="C163" s="8">
        <v>151021.96</v>
      </c>
      <c r="D163" s="8">
        <v>50.14</v>
      </c>
      <c r="E163" s="9">
        <v>3.3200469653552398E-4</v>
      </c>
      <c r="F163" s="10" t="s">
        <v>17</v>
      </c>
      <c r="G163" s="10" t="s">
        <v>17</v>
      </c>
    </row>
    <row r="164" spans="1:7" x14ac:dyDescent="0.25">
      <c r="A164" s="6" t="s">
        <v>34</v>
      </c>
      <c r="B164" s="7" t="s">
        <v>211</v>
      </c>
      <c r="C164" s="8">
        <v>143168.18</v>
      </c>
      <c r="D164" s="8">
        <v>12369.58</v>
      </c>
      <c r="E164" s="9">
        <v>8.6398947028592493E-2</v>
      </c>
      <c r="F164" s="10" t="s">
        <v>17</v>
      </c>
      <c r="G164" s="10" t="s">
        <v>17</v>
      </c>
    </row>
    <row r="165" spans="1:7" x14ac:dyDescent="0.25">
      <c r="A165" s="6" t="s">
        <v>35</v>
      </c>
      <c r="B165" s="7" t="s">
        <v>254</v>
      </c>
      <c r="C165" s="8">
        <v>140009.82999999999</v>
      </c>
      <c r="D165" s="8">
        <v>16541.189999999999</v>
      </c>
      <c r="E165" s="9">
        <v>0.11814306181216</v>
      </c>
      <c r="F165" s="10" t="s">
        <v>17</v>
      </c>
      <c r="G165" s="10" t="s">
        <v>17</v>
      </c>
    </row>
    <row r="166" spans="1:7" x14ac:dyDescent="0.25">
      <c r="A166" s="6" t="s">
        <v>36</v>
      </c>
      <c r="B166" s="7" t="s">
        <v>279</v>
      </c>
      <c r="C166" s="8">
        <v>134912.01999999999</v>
      </c>
      <c r="D166" s="8">
        <v>134912.01999999999</v>
      </c>
      <c r="E166" s="9">
        <v>1</v>
      </c>
      <c r="F166" s="10" t="s">
        <v>17</v>
      </c>
      <c r="G166" s="10" t="s">
        <v>17</v>
      </c>
    </row>
    <row r="167" spans="1:7" x14ac:dyDescent="0.25">
      <c r="A167" s="6" t="s">
        <v>37</v>
      </c>
      <c r="B167" s="7" t="s">
        <v>187</v>
      </c>
      <c r="C167" s="8">
        <v>131170.5</v>
      </c>
      <c r="D167" s="8">
        <v>131170.5</v>
      </c>
      <c r="E167" s="9">
        <v>1</v>
      </c>
      <c r="F167" s="10" t="s">
        <v>17</v>
      </c>
      <c r="G167" s="10" t="s">
        <v>17</v>
      </c>
    </row>
    <row r="168" spans="1:7" x14ac:dyDescent="0.25">
      <c r="A168" s="6" t="s">
        <v>38</v>
      </c>
      <c r="B168" s="7" t="s">
        <v>303</v>
      </c>
      <c r="C168" s="8">
        <v>121009.84</v>
      </c>
      <c r="D168" s="8">
        <v>121009.84</v>
      </c>
      <c r="E168" s="9">
        <v>1</v>
      </c>
      <c r="F168" s="10" t="s">
        <v>17</v>
      </c>
      <c r="G168" s="10" t="s">
        <v>17</v>
      </c>
    </row>
    <row r="169" spans="1:7" x14ac:dyDescent="0.25">
      <c r="A169" s="6" t="s">
        <v>39</v>
      </c>
      <c r="B169" s="7" t="s">
        <v>215</v>
      </c>
      <c r="C169" s="8">
        <v>120858.55</v>
      </c>
      <c r="D169" s="8">
        <v>1514.67</v>
      </c>
      <c r="E169" s="9">
        <v>1.2532584579245699E-2</v>
      </c>
      <c r="F169" s="10" t="s">
        <v>17</v>
      </c>
      <c r="G169" s="10" t="s">
        <v>17</v>
      </c>
    </row>
    <row r="170" spans="1:7" x14ac:dyDescent="0.25">
      <c r="A170" s="6" t="s">
        <v>40</v>
      </c>
      <c r="B170" s="7" t="s">
        <v>308</v>
      </c>
      <c r="C170" s="8">
        <v>99707.425199999998</v>
      </c>
      <c r="D170" s="8">
        <v>2017.21</v>
      </c>
      <c r="E170" s="9">
        <v>2.0231291661114901E-2</v>
      </c>
      <c r="F170" s="10" t="s">
        <v>17</v>
      </c>
      <c r="G170" s="10" t="s">
        <v>17</v>
      </c>
    </row>
    <row r="171" spans="1:7" x14ac:dyDescent="0.25">
      <c r="A171" s="6" t="s">
        <v>41</v>
      </c>
      <c r="B171" s="7" t="s">
        <v>294</v>
      </c>
      <c r="C171" s="8">
        <v>83096.039999999994</v>
      </c>
      <c r="D171" s="8">
        <v>46133.43</v>
      </c>
      <c r="E171" s="9">
        <v>0.55518205199670201</v>
      </c>
      <c r="F171" s="10" t="s">
        <v>17</v>
      </c>
      <c r="G171" s="10" t="s">
        <v>17</v>
      </c>
    </row>
    <row r="172" spans="1:7" x14ac:dyDescent="0.25">
      <c r="A172" s="6" t="s">
        <v>42</v>
      </c>
      <c r="B172" s="7" t="s">
        <v>184</v>
      </c>
      <c r="C172" s="8">
        <v>80133.7</v>
      </c>
      <c r="D172" s="8">
        <v>80133.7</v>
      </c>
      <c r="E172" s="9">
        <v>1</v>
      </c>
      <c r="F172" s="10" t="s">
        <v>17</v>
      </c>
      <c r="G172" s="10" t="s">
        <v>17</v>
      </c>
    </row>
    <row r="173" spans="1:7" x14ac:dyDescent="0.25">
      <c r="A173" s="6" t="s">
        <v>43</v>
      </c>
      <c r="B173" s="7" t="s">
        <v>280</v>
      </c>
      <c r="C173" s="8">
        <v>78074.080000000002</v>
      </c>
      <c r="D173" s="8">
        <v>2204.81</v>
      </c>
      <c r="E173" s="9">
        <v>2.8239974137383401E-2</v>
      </c>
      <c r="F173" s="10" t="s">
        <v>17</v>
      </c>
      <c r="G173" s="10" t="s">
        <v>17</v>
      </c>
    </row>
    <row r="174" spans="1:7" x14ac:dyDescent="0.25">
      <c r="A174" s="6" t="s">
        <v>44</v>
      </c>
      <c r="B174" s="7" t="s">
        <v>284</v>
      </c>
      <c r="C174" s="8">
        <v>58456.88</v>
      </c>
      <c r="D174" s="8">
        <v>11230.42</v>
      </c>
      <c r="E174" s="9">
        <v>0.19211459797375399</v>
      </c>
      <c r="F174" s="10" t="s">
        <v>17</v>
      </c>
      <c r="G174" s="10" t="s">
        <v>17</v>
      </c>
    </row>
    <row r="175" spans="1:7" x14ac:dyDescent="0.25">
      <c r="A175" s="6" t="s">
        <v>45</v>
      </c>
      <c r="B175" s="7" t="s">
        <v>175</v>
      </c>
      <c r="C175" s="8">
        <v>52843.67</v>
      </c>
      <c r="D175" s="8">
        <v>52843.67</v>
      </c>
      <c r="E175" s="9">
        <v>1</v>
      </c>
      <c r="F175" s="10" t="s">
        <v>17</v>
      </c>
      <c r="G175" s="10" t="s">
        <v>17</v>
      </c>
    </row>
    <row r="176" spans="1:7" x14ac:dyDescent="0.25">
      <c r="A176" s="6" t="s">
        <v>46</v>
      </c>
      <c r="B176" s="7" t="s">
        <v>227</v>
      </c>
      <c r="C176" s="8">
        <v>50060.62</v>
      </c>
      <c r="D176" s="8">
        <v>50060.62</v>
      </c>
      <c r="E176" s="9">
        <v>1</v>
      </c>
      <c r="F176" s="10" t="s">
        <v>17</v>
      </c>
      <c r="G176" s="10" t="s">
        <v>17</v>
      </c>
    </row>
    <row r="177" spans="1:7" x14ac:dyDescent="0.25">
      <c r="A177" s="6" t="s">
        <v>47</v>
      </c>
      <c r="B177" s="7" t="s">
        <v>248</v>
      </c>
      <c r="C177" s="8">
        <v>37315.65</v>
      </c>
      <c r="D177" s="8">
        <v>37315.65</v>
      </c>
      <c r="E177" s="9">
        <v>1</v>
      </c>
      <c r="F177" s="10" t="s">
        <v>17</v>
      </c>
      <c r="G177" s="10" t="s">
        <v>17</v>
      </c>
    </row>
    <row r="178" spans="1:7" x14ac:dyDescent="0.25">
      <c r="A178" s="6" t="s">
        <v>48</v>
      </c>
      <c r="B178" s="7" t="s">
        <v>261</v>
      </c>
      <c r="C178" s="8">
        <v>35565.71</v>
      </c>
      <c r="D178" s="8">
        <v>9833.89</v>
      </c>
      <c r="E178" s="9">
        <v>0.27649918980950999</v>
      </c>
      <c r="F178" s="10" t="s">
        <v>17</v>
      </c>
      <c r="G178" s="10" t="s">
        <v>17</v>
      </c>
    </row>
    <row r="179" spans="1:7" x14ac:dyDescent="0.25">
      <c r="A179" s="6" t="s">
        <v>49</v>
      </c>
      <c r="B179" s="7" t="s">
        <v>190</v>
      </c>
      <c r="C179" s="8">
        <v>33619.07</v>
      </c>
      <c r="D179" s="8">
        <v>33619.07</v>
      </c>
      <c r="E179" s="9">
        <v>1</v>
      </c>
      <c r="F179" s="10" t="s">
        <v>17</v>
      </c>
      <c r="G179" s="10" t="s">
        <v>17</v>
      </c>
    </row>
    <row r="180" spans="1:7" x14ac:dyDescent="0.25">
      <c r="A180" s="6" t="s">
        <v>50</v>
      </c>
      <c r="B180" s="7" t="s">
        <v>285</v>
      </c>
      <c r="C180" s="8">
        <v>20002.599999999999</v>
      </c>
      <c r="D180" s="8">
        <v>20002.599999999999</v>
      </c>
      <c r="E180" s="9">
        <v>1</v>
      </c>
      <c r="F180" s="10" t="s">
        <v>17</v>
      </c>
      <c r="G180" s="10" t="s">
        <v>17</v>
      </c>
    </row>
    <row r="181" spans="1:7" x14ac:dyDescent="0.25">
      <c r="A181" s="6" t="s">
        <v>51</v>
      </c>
      <c r="B181" s="7" t="s">
        <v>220</v>
      </c>
      <c r="C181" s="8">
        <v>19672.810000000001</v>
      </c>
      <c r="D181" s="8">
        <v>19672.810000000001</v>
      </c>
      <c r="E181" s="9">
        <v>1</v>
      </c>
      <c r="F181" s="10" t="s">
        <v>17</v>
      </c>
      <c r="G181" s="10" t="s">
        <v>17</v>
      </c>
    </row>
    <row r="182" spans="1:7" x14ac:dyDescent="0.25">
      <c r="A182" s="6" t="s">
        <v>52</v>
      </c>
      <c r="B182" s="7" t="s">
        <v>287</v>
      </c>
      <c r="C182" s="8">
        <v>11707.87</v>
      </c>
      <c r="D182" s="8">
        <v>485.43</v>
      </c>
      <c r="E182" s="9">
        <v>4.1461854291173397E-2</v>
      </c>
      <c r="F182" s="10" t="s">
        <v>17</v>
      </c>
      <c r="G182" s="10" t="s">
        <v>17</v>
      </c>
    </row>
    <row r="183" spans="1:7" x14ac:dyDescent="0.25">
      <c r="A183" s="6" t="s">
        <v>53</v>
      </c>
      <c r="B183" s="7" t="s">
        <v>238</v>
      </c>
      <c r="C183" s="8">
        <v>6087.08</v>
      </c>
      <c r="D183" s="8">
        <v>66.16</v>
      </c>
      <c r="E183" s="9">
        <v>1.0868922373289E-2</v>
      </c>
      <c r="F183" s="10" t="s">
        <v>17</v>
      </c>
      <c r="G183" s="10" t="s">
        <v>17</v>
      </c>
    </row>
    <row r="184" spans="1:7" x14ac:dyDescent="0.25">
      <c r="A184" s="6" t="s">
        <v>54</v>
      </c>
      <c r="B184" s="7" t="s">
        <v>261</v>
      </c>
      <c r="C184" s="8">
        <v>5505.81</v>
      </c>
      <c r="D184" s="8">
        <v>5505.81</v>
      </c>
      <c r="E184" s="9">
        <v>1</v>
      </c>
      <c r="F184" s="10" t="s">
        <v>17</v>
      </c>
      <c r="G184" s="10" t="s">
        <v>17</v>
      </c>
    </row>
    <row r="185" spans="1:7" x14ac:dyDescent="0.25">
      <c r="A185" s="6" t="s">
        <v>55</v>
      </c>
      <c r="B185" s="7" t="s">
        <v>288</v>
      </c>
      <c r="C185" s="8">
        <v>4950.49</v>
      </c>
      <c r="D185" s="8">
        <v>948.18</v>
      </c>
      <c r="E185" s="9">
        <v>0.19153255536320599</v>
      </c>
      <c r="F185" s="10" t="s">
        <v>17</v>
      </c>
      <c r="G185" s="10" t="s">
        <v>17</v>
      </c>
    </row>
    <row r="186" spans="1:7" x14ac:dyDescent="0.25">
      <c r="A186" s="6" t="s">
        <v>56</v>
      </c>
      <c r="B186" s="7" t="s">
        <v>326</v>
      </c>
      <c r="C186" s="8">
        <v>2496.71</v>
      </c>
      <c r="D186" s="8">
        <v>2496.71</v>
      </c>
      <c r="E186" s="9">
        <v>1</v>
      </c>
      <c r="F186" s="10" t="s">
        <v>17</v>
      </c>
      <c r="G186" s="10" t="s">
        <v>17</v>
      </c>
    </row>
    <row r="187" spans="1:7" x14ac:dyDescent="0.25">
      <c r="A187" s="6" t="s">
        <v>57</v>
      </c>
      <c r="B187" s="7" t="s">
        <v>305</v>
      </c>
      <c r="C187" s="8">
        <v>1758.53</v>
      </c>
      <c r="D187" s="8">
        <v>1758.53</v>
      </c>
      <c r="E187" s="9">
        <v>1</v>
      </c>
      <c r="F187" s="10" t="s">
        <v>17</v>
      </c>
      <c r="G187" s="10" t="s">
        <v>17</v>
      </c>
    </row>
    <row r="188" spans="1:7" x14ac:dyDescent="0.25">
      <c r="A188" s="6" t="s">
        <v>58</v>
      </c>
      <c r="B188" s="7" t="s">
        <v>202</v>
      </c>
      <c r="C188" s="8">
        <v>1579.04</v>
      </c>
      <c r="D188" s="8">
        <v>19.43</v>
      </c>
      <c r="E188" s="9">
        <v>1.2304944776573099E-2</v>
      </c>
      <c r="F188" s="10" t="s">
        <v>17</v>
      </c>
      <c r="G188" s="10" t="s">
        <v>17</v>
      </c>
    </row>
    <row r="189" spans="1:7" x14ac:dyDescent="0.25">
      <c r="A189" s="6" t="s">
        <v>59</v>
      </c>
      <c r="B189" s="7" t="s">
        <v>289</v>
      </c>
      <c r="C189" s="8">
        <v>1270.5999999999999</v>
      </c>
      <c r="D189" s="8">
        <v>54.98</v>
      </c>
      <c r="E189" s="9">
        <v>4.32708956398552E-2</v>
      </c>
      <c r="F189" s="10" t="s">
        <v>17</v>
      </c>
      <c r="G189" s="10" t="s">
        <v>17</v>
      </c>
    </row>
    <row r="190" spans="1:7" x14ac:dyDescent="0.25">
      <c r="A190" s="6" t="s">
        <v>60</v>
      </c>
      <c r="B190" s="7" t="s">
        <v>327</v>
      </c>
      <c r="C190" s="8">
        <v>1150.43</v>
      </c>
      <c r="D190" s="8">
        <v>1150.43</v>
      </c>
      <c r="E190" s="9">
        <v>1</v>
      </c>
      <c r="F190" s="10" t="s">
        <v>17</v>
      </c>
      <c r="G190" s="10" t="s">
        <v>17</v>
      </c>
    </row>
    <row r="191" spans="1:7" x14ac:dyDescent="0.25">
      <c r="A191" s="6" t="s">
        <v>61</v>
      </c>
      <c r="B191" s="7" t="s">
        <v>314</v>
      </c>
      <c r="C191" s="8">
        <v>1000.43</v>
      </c>
      <c r="D191" s="8">
        <v>1000.43</v>
      </c>
      <c r="E191" s="9">
        <v>1</v>
      </c>
      <c r="F191" s="10" t="s">
        <v>17</v>
      </c>
      <c r="G191" s="10" t="s">
        <v>17</v>
      </c>
    </row>
    <row r="192" spans="1:7" x14ac:dyDescent="0.25">
      <c r="A192" s="6" t="s">
        <v>62</v>
      </c>
      <c r="B192" s="7" t="s">
        <v>210</v>
      </c>
      <c r="C192" s="8">
        <v>989.38</v>
      </c>
      <c r="D192" s="8">
        <v>0</v>
      </c>
      <c r="E192" s="9">
        <v>0</v>
      </c>
      <c r="F192" s="10" t="s">
        <v>17</v>
      </c>
      <c r="G192" s="10" t="s">
        <v>17</v>
      </c>
    </row>
    <row r="193" spans="1:7" x14ac:dyDescent="0.25">
      <c r="A193" s="6" t="s">
        <v>63</v>
      </c>
      <c r="B193" s="7" t="s">
        <v>295</v>
      </c>
      <c r="C193" s="8">
        <v>901.88</v>
      </c>
      <c r="D193" s="8">
        <v>901.88</v>
      </c>
      <c r="E193" s="9">
        <v>1</v>
      </c>
      <c r="F193" s="10" t="s">
        <v>17</v>
      </c>
      <c r="G193" s="10" t="s">
        <v>17</v>
      </c>
    </row>
    <row r="194" spans="1:7" x14ac:dyDescent="0.25">
      <c r="A194" s="6" t="s">
        <v>64</v>
      </c>
      <c r="B194" s="7" t="s">
        <v>290</v>
      </c>
      <c r="C194" s="8">
        <v>621.14</v>
      </c>
      <c r="D194" s="8">
        <v>89.51</v>
      </c>
      <c r="E194" s="9">
        <v>0.144105998647648</v>
      </c>
      <c r="F194" s="10" t="s">
        <v>17</v>
      </c>
      <c r="G194" s="10" t="s">
        <v>17</v>
      </c>
    </row>
    <row r="195" spans="1:7" x14ac:dyDescent="0.25">
      <c r="A195" s="6" t="s">
        <v>65</v>
      </c>
      <c r="B195" s="7" t="s">
        <v>204</v>
      </c>
      <c r="C195" s="8">
        <v>21.6</v>
      </c>
      <c r="D195" s="8">
        <v>21.6</v>
      </c>
      <c r="E195" s="9">
        <v>1</v>
      </c>
      <c r="F195" s="10" t="s">
        <v>17</v>
      </c>
      <c r="G195" s="10" t="s">
        <v>17</v>
      </c>
    </row>
    <row r="196" spans="1:7" x14ac:dyDescent="0.25">
      <c r="A196" s="6" t="s">
        <v>66</v>
      </c>
      <c r="B196" s="7" t="s">
        <v>271</v>
      </c>
      <c r="C196" s="8">
        <v>20.07</v>
      </c>
      <c r="D196" s="8">
        <v>20.07</v>
      </c>
      <c r="E196" s="9">
        <v>1</v>
      </c>
      <c r="F196" s="10" t="s">
        <v>17</v>
      </c>
      <c r="G196" s="10" t="s">
        <v>17</v>
      </c>
    </row>
    <row r="197" spans="1:7" x14ac:dyDescent="0.25">
      <c r="A197" s="6" t="s">
        <v>67</v>
      </c>
      <c r="B197" s="7" t="s">
        <v>297</v>
      </c>
      <c r="C197" s="8">
        <v>6.87</v>
      </c>
      <c r="D197" s="8">
        <v>6.87</v>
      </c>
      <c r="E197" s="9">
        <v>1</v>
      </c>
      <c r="F197" s="10" t="s">
        <v>17</v>
      </c>
      <c r="G197" s="10" t="s">
        <v>17</v>
      </c>
    </row>
    <row r="198" spans="1:7" x14ac:dyDescent="0.25">
      <c r="A198" s="6" t="s">
        <v>68</v>
      </c>
      <c r="B198" s="7" t="s">
        <v>296</v>
      </c>
      <c r="C198" s="8">
        <v>3.17</v>
      </c>
      <c r="D198" s="8">
        <v>3.17</v>
      </c>
      <c r="E198" s="9">
        <v>1</v>
      </c>
      <c r="F198" s="10" t="s">
        <v>17</v>
      </c>
      <c r="G198" s="10" t="s">
        <v>17</v>
      </c>
    </row>
    <row r="199" spans="1:7" x14ac:dyDescent="0.25">
      <c r="A199" s="6" t="s">
        <v>69</v>
      </c>
      <c r="B199" s="7" t="s">
        <v>281</v>
      </c>
      <c r="C199" s="8">
        <v>0.33</v>
      </c>
      <c r="D199" s="8">
        <v>0.33</v>
      </c>
      <c r="E199" s="9">
        <v>1</v>
      </c>
      <c r="F199" s="10" t="s">
        <v>17</v>
      </c>
      <c r="G199" s="10" t="s">
        <v>17</v>
      </c>
    </row>
    <row r="200" spans="1:7" x14ac:dyDescent="0.25">
      <c r="A200" s="6" t="s">
        <v>70</v>
      </c>
      <c r="B200" s="7" t="s">
        <v>221</v>
      </c>
      <c r="C200" s="8">
        <v>0.06</v>
      </c>
      <c r="D200" s="8">
        <v>0.06</v>
      </c>
      <c r="E200" s="9">
        <v>1</v>
      </c>
      <c r="F200" s="10" t="s">
        <v>17</v>
      </c>
      <c r="G200" s="10" t="s">
        <v>17</v>
      </c>
    </row>
    <row r="201" spans="1:7" x14ac:dyDescent="0.25">
      <c r="A201" s="6" t="s">
        <v>71</v>
      </c>
      <c r="B201" s="7" t="s">
        <v>164</v>
      </c>
      <c r="C201" s="8">
        <v>0.03</v>
      </c>
      <c r="D201" s="8">
        <v>0.03</v>
      </c>
      <c r="E201" s="9">
        <v>1</v>
      </c>
      <c r="F201" s="10" t="s">
        <v>17</v>
      </c>
      <c r="G201" s="10" t="s">
        <v>17</v>
      </c>
    </row>
    <row r="202" spans="1:7" x14ac:dyDescent="0.25">
      <c r="A202" s="6" t="s">
        <v>72</v>
      </c>
      <c r="B202" s="7" t="s">
        <v>230</v>
      </c>
      <c r="C202" s="8">
        <v>0.01</v>
      </c>
      <c r="D202" s="8">
        <v>0.01</v>
      </c>
      <c r="E202" s="9">
        <v>1</v>
      </c>
      <c r="F202" s="10" t="s">
        <v>17</v>
      </c>
      <c r="G202" s="10" t="s">
        <v>17</v>
      </c>
    </row>
    <row r="203" spans="1:7" x14ac:dyDescent="0.25">
      <c r="A203" s="6" t="s">
        <v>73</v>
      </c>
      <c r="B203" s="7" t="s">
        <v>208</v>
      </c>
      <c r="C203" s="8">
        <v>0.01</v>
      </c>
      <c r="D203" s="8">
        <v>0.01</v>
      </c>
      <c r="E203" s="9">
        <v>1</v>
      </c>
      <c r="F203" s="10" t="s">
        <v>17</v>
      </c>
      <c r="G203" s="10" t="s">
        <v>17</v>
      </c>
    </row>
    <row r="204" spans="1:7" x14ac:dyDescent="0.25">
      <c r="A204" s="6" t="s">
        <v>74</v>
      </c>
      <c r="B204" s="7" t="s">
        <v>286</v>
      </c>
      <c r="C204" s="8">
        <v>0</v>
      </c>
      <c r="D204" s="8">
        <v>0</v>
      </c>
      <c r="E204" s="9">
        <v>0</v>
      </c>
      <c r="F204" s="10" t="s">
        <v>17</v>
      </c>
      <c r="G204" s="10" t="s">
        <v>17</v>
      </c>
    </row>
    <row r="205" spans="1:7" x14ac:dyDescent="0.25">
      <c r="A205" s="6" t="s">
        <v>75</v>
      </c>
      <c r="B205" s="7" t="s">
        <v>219</v>
      </c>
      <c r="C205" s="8">
        <v>0</v>
      </c>
      <c r="D205" s="8">
        <v>0</v>
      </c>
      <c r="E205" s="9">
        <v>0</v>
      </c>
      <c r="F205" s="10" t="s">
        <v>17</v>
      </c>
      <c r="G205" s="10" t="s">
        <v>17</v>
      </c>
    </row>
    <row r="206" spans="1:7" x14ac:dyDescent="0.25">
      <c r="A206" s="6" t="s">
        <v>76</v>
      </c>
      <c r="B206" s="7" t="s">
        <v>262</v>
      </c>
      <c r="C206" s="8">
        <v>0</v>
      </c>
      <c r="D206" s="8">
        <v>0</v>
      </c>
      <c r="E206" s="9">
        <v>0</v>
      </c>
      <c r="F206" s="10" t="s">
        <v>17</v>
      </c>
      <c r="G206" s="10" t="s">
        <v>17</v>
      </c>
    </row>
    <row r="207" spans="1:7" x14ac:dyDescent="0.25">
      <c r="A207" s="6" t="s">
        <v>77</v>
      </c>
      <c r="B207" s="7" t="s">
        <v>282</v>
      </c>
      <c r="C207" s="8">
        <v>0</v>
      </c>
      <c r="D207" s="8">
        <v>0</v>
      </c>
      <c r="E207" s="9">
        <v>0</v>
      </c>
      <c r="F207" s="10" t="s">
        <v>17</v>
      </c>
      <c r="G207" s="10" t="s">
        <v>17</v>
      </c>
    </row>
    <row r="208" spans="1:7" x14ac:dyDescent="0.25">
      <c r="A208" s="6" t="s">
        <v>78</v>
      </c>
      <c r="B208" s="7" t="s">
        <v>229</v>
      </c>
      <c r="C208" s="8">
        <v>0</v>
      </c>
      <c r="D208" s="8">
        <v>0</v>
      </c>
      <c r="E208" s="9">
        <v>0</v>
      </c>
      <c r="F208" s="10" t="s">
        <v>17</v>
      </c>
      <c r="G208" s="10" t="s">
        <v>17</v>
      </c>
    </row>
    <row r="209" spans="2:5" x14ac:dyDescent="0.25">
      <c r="C209" s="8"/>
      <c r="D209" s="8"/>
      <c r="E209" s="9"/>
    </row>
    <row r="214" spans="2:5" x14ac:dyDescent="0.25">
      <c r="B214" s="20" t="s">
        <v>273</v>
      </c>
      <c r="C214" s="21">
        <f>SUM(C2:C146)</f>
        <v>93391353.044099972</v>
      </c>
      <c r="D214" s="21">
        <f>SUM(D2:D146)</f>
        <v>27519832.730000012</v>
      </c>
      <c r="E214" s="22">
        <f>(D214 / C214)</f>
        <v>0.29467217074159935</v>
      </c>
    </row>
    <row r="218" spans="2:5" x14ac:dyDescent="0.25">
      <c r="B218" s="20" t="s">
        <v>272</v>
      </c>
      <c r="C218" s="21">
        <f>SUM(C147:C212)</f>
        <v>11468546.0052</v>
      </c>
      <c r="D218" s="21">
        <f>SUM(D147:D212)</f>
        <v>7345026.9599999953</v>
      </c>
      <c r="E218" s="22">
        <f>(D218 / C218)</f>
        <v>0.64044970972516102</v>
      </c>
    </row>
    <row r="222" spans="2:5" x14ac:dyDescent="0.25">
      <c r="B222" s="20" t="s">
        <v>274</v>
      </c>
      <c r="C222" s="21">
        <f>SUM(C2:C218) / 2</f>
        <v>104859899.04929997</v>
      </c>
      <c r="D222" s="21">
        <f>SUM(D2:D218) / 2</f>
        <v>34864859.690000013</v>
      </c>
      <c r="E222" s="22">
        <f>(D222 / C222)</f>
        <v>0.3324899223258671</v>
      </c>
    </row>
  </sheetData>
  <pageMargins left="0.7" right="0.7" top="0.75" bottom="0.75" header="0.3" footer="0.3"/>
  <pageSetup orientation="landscape" r:id="rId1"/>
  <headerFooter>
    <oddHeader>&amp;R&amp;B&amp;12As of &amp;D&amp;C&amp;B&amp;12Sunset West Daily Cash Percentage Report</oddHeader>
    <oddFooter>&amp;C&amp;B&amp;12&amp;P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A02DD-608C-4690-81A4-191942653FEA}">
  <dimension ref="A1:G223"/>
  <sheetViews>
    <sheetView tabSelected="1" workbookViewId="0">
      <selection sqref="A1:XFD1048576"/>
    </sheetView>
  </sheetViews>
  <sheetFormatPr defaultRowHeight="15" x14ac:dyDescent="0.25"/>
  <cols>
    <col min="1" max="1" width="5" style="10" bestFit="1" customWidth="1"/>
    <col min="2" max="2" width="26.28515625" style="7" customWidth="1"/>
    <col min="3" max="3" width="15.140625" style="10" customWidth="1"/>
    <col min="4" max="4" width="14" style="10" customWidth="1"/>
    <col min="5" max="5" width="9.140625" style="10"/>
    <col min="6" max="6" width="9.7109375" style="10" customWidth="1"/>
    <col min="7" max="7" width="10.42578125" style="10" customWidth="1"/>
    <col min="8" max="16384" width="9.140625" style="1"/>
  </cols>
  <sheetData>
    <row r="1" spans="1:7" ht="31.5" x14ac:dyDescent="0.25">
      <c r="A1" s="18"/>
      <c r="B1" s="2" t="s">
        <v>157</v>
      </c>
      <c r="C1" s="3" t="s">
        <v>158</v>
      </c>
      <c r="D1" s="3" t="s">
        <v>159</v>
      </c>
      <c r="E1" s="4" t="s">
        <v>160</v>
      </c>
      <c r="F1" s="5" t="s">
        <v>161</v>
      </c>
      <c r="G1" s="5" t="s">
        <v>162</v>
      </c>
    </row>
    <row r="2" spans="1:7" ht="15.75" x14ac:dyDescent="0.25">
      <c r="A2" s="6" t="s">
        <v>18</v>
      </c>
      <c r="B2" s="7" t="s">
        <v>163</v>
      </c>
      <c r="C2" s="8">
        <v>5021458.8099999996</v>
      </c>
      <c r="D2" s="8">
        <v>1072102.26</v>
      </c>
      <c r="E2" s="9">
        <v>0.213504143032092</v>
      </c>
      <c r="F2" s="10" t="s">
        <v>0</v>
      </c>
      <c r="G2" s="11">
        <f>(D2 / F2)</f>
        <v>79.414982222222221</v>
      </c>
    </row>
    <row r="3" spans="1:7" ht="15.75" x14ac:dyDescent="0.25">
      <c r="A3" s="6" t="s">
        <v>19</v>
      </c>
      <c r="B3" s="7" t="s">
        <v>297</v>
      </c>
      <c r="C3" s="8">
        <v>4921341.49</v>
      </c>
      <c r="D3" s="8">
        <v>4208324.7300000004</v>
      </c>
      <c r="E3" s="9">
        <v>0.855117398081636</v>
      </c>
      <c r="F3" s="10" t="s">
        <v>17</v>
      </c>
      <c r="G3" s="10" t="s">
        <v>17</v>
      </c>
    </row>
    <row r="4" spans="1:7" ht="15.75" x14ac:dyDescent="0.25">
      <c r="A4" s="6" t="s">
        <v>20</v>
      </c>
      <c r="B4" s="7" t="s">
        <v>168</v>
      </c>
      <c r="C4" s="8">
        <v>4284344.8</v>
      </c>
      <c r="D4" s="8">
        <v>1206145.96</v>
      </c>
      <c r="E4" s="9">
        <v>0.28152401739467797</v>
      </c>
      <c r="F4" s="10" t="s">
        <v>17</v>
      </c>
      <c r="G4" s="10" t="s">
        <v>17</v>
      </c>
    </row>
    <row r="5" spans="1:7" ht="15.75" x14ac:dyDescent="0.25">
      <c r="A5" s="6" t="s">
        <v>21</v>
      </c>
      <c r="B5" s="7" t="s">
        <v>165</v>
      </c>
      <c r="C5" s="8">
        <v>3307166.2544</v>
      </c>
      <c r="D5" s="8">
        <v>724671.94</v>
      </c>
      <c r="E5" s="9">
        <v>0.21912171456027199</v>
      </c>
      <c r="F5" s="10" t="s">
        <v>17</v>
      </c>
      <c r="G5" s="10" t="s">
        <v>17</v>
      </c>
    </row>
    <row r="6" spans="1:7" ht="15.75" x14ac:dyDescent="0.25">
      <c r="A6" s="6" t="s">
        <v>22</v>
      </c>
      <c r="B6" s="7" t="s">
        <v>166</v>
      </c>
      <c r="C6" s="8">
        <v>2951303.08</v>
      </c>
      <c r="D6" s="8">
        <v>547351.24</v>
      </c>
      <c r="E6" s="9">
        <v>0.185460871067163</v>
      </c>
      <c r="F6" s="10" t="s">
        <v>17</v>
      </c>
      <c r="G6" s="10" t="s">
        <v>17</v>
      </c>
    </row>
    <row r="7" spans="1:7" ht="15.75" x14ac:dyDescent="0.25">
      <c r="A7" s="6" t="s">
        <v>23</v>
      </c>
      <c r="B7" s="7" t="s">
        <v>164</v>
      </c>
      <c r="C7" s="8">
        <v>2904597.45</v>
      </c>
      <c r="D7" s="8">
        <v>537265.53</v>
      </c>
      <c r="E7" s="9">
        <v>0.184970736650616</v>
      </c>
      <c r="F7" s="10" t="s">
        <v>1</v>
      </c>
      <c r="G7" s="11">
        <f>(D7 / F7)</f>
        <v>58.208616468039004</v>
      </c>
    </row>
    <row r="8" spans="1:7" ht="15.75" x14ac:dyDescent="0.25">
      <c r="A8" s="6" t="s">
        <v>24</v>
      </c>
      <c r="B8" s="7" t="s">
        <v>167</v>
      </c>
      <c r="C8" s="8">
        <v>2562062.2000000002</v>
      </c>
      <c r="D8" s="8">
        <v>1116393.56</v>
      </c>
      <c r="E8" s="9">
        <v>0.43574022519827998</v>
      </c>
      <c r="F8" s="10" t="s">
        <v>2</v>
      </c>
      <c r="G8" s="11">
        <f>(D8 / F8)</f>
        <v>434.73269470404989</v>
      </c>
    </row>
    <row r="9" spans="1:7" ht="15.75" x14ac:dyDescent="0.25">
      <c r="A9" s="6" t="s">
        <v>25</v>
      </c>
      <c r="B9" s="7" t="s">
        <v>169</v>
      </c>
      <c r="C9" s="8">
        <v>2260412.73</v>
      </c>
      <c r="D9" s="8">
        <v>402766.96</v>
      </c>
      <c r="E9" s="9">
        <v>0.17818292856632401</v>
      </c>
      <c r="F9" s="10" t="s">
        <v>293</v>
      </c>
      <c r="G9" s="11">
        <f>(D9 / F9)</f>
        <v>42.396522105263159</v>
      </c>
    </row>
    <row r="10" spans="1:7" ht="15.75" x14ac:dyDescent="0.25">
      <c r="A10" s="6" t="s">
        <v>26</v>
      </c>
      <c r="B10" s="7" t="s">
        <v>170</v>
      </c>
      <c r="C10" s="8">
        <v>2088442.11</v>
      </c>
      <c r="D10" s="8">
        <v>311263.37</v>
      </c>
      <c r="E10" s="9">
        <v>0.14904093750532499</v>
      </c>
      <c r="F10" s="10" t="s">
        <v>3</v>
      </c>
      <c r="G10" s="11">
        <f>(D10 / F10)</f>
        <v>38.907921250000001</v>
      </c>
    </row>
    <row r="11" spans="1:7" ht="15.75" x14ac:dyDescent="0.25">
      <c r="A11" s="6" t="s">
        <v>27</v>
      </c>
      <c r="B11" s="7" t="s">
        <v>171</v>
      </c>
      <c r="C11" s="8">
        <v>1987654.85</v>
      </c>
      <c r="D11" s="8">
        <v>312334.34000000003</v>
      </c>
      <c r="E11" s="9">
        <v>0.15713711060046501</v>
      </c>
      <c r="F11" s="10" t="s">
        <v>17</v>
      </c>
      <c r="G11" s="10" t="s">
        <v>17</v>
      </c>
    </row>
    <row r="12" spans="1:7" ht="15.75" x14ac:dyDescent="0.25">
      <c r="A12" s="6" t="s">
        <v>28</v>
      </c>
      <c r="B12" s="7" t="s">
        <v>316</v>
      </c>
      <c r="C12" s="8">
        <v>1959254.9212</v>
      </c>
      <c r="D12" s="8">
        <v>991186.21</v>
      </c>
      <c r="E12" s="9">
        <v>0.50589956379587397</v>
      </c>
      <c r="F12" s="10" t="s">
        <v>17</v>
      </c>
      <c r="G12" s="10" t="s">
        <v>17</v>
      </c>
    </row>
    <row r="13" spans="1:7" ht="15.75" x14ac:dyDescent="0.25">
      <c r="A13" s="6" t="s">
        <v>29</v>
      </c>
      <c r="B13" s="7" t="s">
        <v>172</v>
      </c>
      <c r="C13" s="8">
        <v>1907043.38</v>
      </c>
      <c r="D13" s="8">
        <v>442825.01</v>
      </c>
      <c r="E13" s="9">
        <v>0.232205001021005</v>
      </c>
      <c r="F13" s="10" t="s">
        <v>17</v>
      </c>
      <c r="G13" s="10" t="s">
        <v>17</v>
      </c>
    </row>
    <row r="14" spans="1:7" ht="15.75" x14ac:dyDescent="0.25">
      <c r="A14" s="6" t="s">
        <v>30</v>
      </c>
      <c r="B14" s="7" t="s">
        <v>173</v>
      </c>
      <c r="C14" s="8">
        <v>1811580.81</v>
      </c>
      <c r="D14" s="8">
        <v>327702.09999999998</v>
      </c>
      <c r="E14" s="9">
        <v>0.18089289651947699</v>
      </c>
      <c r="F14" s="10" t="s">
        <v>4</v>
      </c>
      <c r="G14" s="11">
        <f>(D14 / F14)</f>
        <v>54.617016666666665</v>
      </c>
    </row>
    <row r="15" spans="1:7" ht="15.75" x14ac:dyDescent="0.25">
      <c r="A15" s="6" t="s">
        <v>31</v>
      </c>
      <c r="B15" s="7" t="s">
        <v>299</v>
      </c>
      <c r="C15" s="8">
        <v>1710888.86</v>
      </c>
      <c r="D15" s="8">
        <v>1124627.01</v>
      </c>
      <c r="E15" s="9">
        <v>0.65733493056936498</v>
      </c>
      <c r="F15" s="10" t="s">
        <v>17</v>
      </c>
      <c r="G15" s="10" t="s">
        <v>17</v>
      </c>
    </row>
    <row r="16" spans="1:7" ht="15.75" x14ac:dyDescent="0.25">
      <c r="A16" s="6" t="s">
        <v>32</v>
      </c>
      <c r="B16" s="7" t="s">
        <v>175</v>
      </c>
      <c r="C16" s="8">
        <v>1337390.6499999999</v>
      </c>
      <c r="D16" s="8">
        <v>290849.40999999997</v>
      </c>
      <c r="E16" s="9">
        <v>0.217475282932478</v>
      </c>
      <c r="F16" s="10" t="s">
        <v>17</v>
      </c>
      <c r="G16" s="10" t="s">
        <v>17</v>
      </c>
    </row>
    <row r="17" spans="1:7" ht="15.75" x14ac:dyDescent="0.25">
      <c r="A17" s="6" t="s">
        <v>33</v>
      </c>
      <c r="B17" s="7" t="s">
        <v>296</v>
      </c>
      <c r="C17" s="8">
        <v>1239130.07</v>
      </c>
      <c r="D17" s="8">
        <v>133353.89000000001</v>
      </c>
      <c r="E17" s="9">
        <v>0.10761896045344101</v>
      </c>
      <c r="F17" s="10" t="s">
        <v>17</v>
      </c>
      <c r="G17" s="10" t="s">
        <v>17</v>
      </c>
    </row>
    <row r="18" spans="1:7" ht="15.75" x14ac:dyDescent="0.25">
      <c r="A18" s="6" t="s">
        <v>34</v>
      </c>
      <c r="B18" s="7" t="s">
        <v>176</v>
      </c>
      <c r="C18" s="8">
        <v>1225926.3</v>
      </c>
      <c r="D18" s="8">
        <v>304203.40999999997</v>
      </c>
      <c r="E18" s="9">
        <v>0.248141678663717</v>
      </c>
      <c r="F18" s="10" t="s">
        <v>17</v>
      </c>
      <c r="G18" s="10" t="s">
        <v>17</v>
      </c>
    </row>
    <row r="19" spans="1:7" ht="15.75" x14ac:dyDescent="0.25">
      <c r="A19" s="6" t="s">
        <v>35</v>
      </c>
      <c r="B19" s="7" t="s">
        <v>177</v>
      </c>
      <c r="C19" s="8">
        <v>1223381.78</v>
      </c>
      <c r="D19" s="8">
        <v>282747.88</v>
      </c>
      <c r="E19" s="9">
        <v>0.23111990436869201</v>
      </c>
      <c r="F19" s="10" t="s">
        <v>5</v>
      </c>
      <c r="G19" s="11">
        <f>(D19 / F19)</f>
        <v>125.66572444444445</v>
      </c>
    </row>
    <row r="20" spans="1:7" ht="15.75" x14ac:dyDescent="0.25">
      <c r="A20" s="6" t="s">
        <v>36</v>
      </c>
      <c r="B20" s="7" t="s">
        <v>178</v>
      </c>
      <c r="C20" s="8">
        <v>1221710.27</v>
      </c>
      <c r="D20" s="8">
        <v>267397.49</v>
      </c>
      <c r="E20" s="9">
        <v>0.21887144322687899</v>
      </c>
      <c r="F20" s="10" t="s">
        <v>17</v>
      </c>
      <c r="G20" s="10" t="s">
        <v>17</v>
      </c>
    </row>
    <row r="21" spans="1:7" ht="15.75" x14ac:dyDescent="0.25">
      <c r="A21" s="6" t="s">
        <v>37</v>
      </c>
      <c r="B21" s="7" t="s">
        <v>331</v>
      </c>
      <c r="C21" s="8">
        <v>1221291.8</v>
      </c>
      <c r="D21" s="8">
        <v>990413.13</v>
      </c>
      <c r="E21" s="9">
        <v>0.81095535890767501</v>
      </c>
      <c r="F21" s="10" t="s">
        <v>17</v>
      </c>
      <c r="G21" s="10" t="s">
        <v>17</v>
      </c>
    </row>
    <row r="22" spans="1:7" ht="15.75" x14ac:dyDescent="0.25">
      <c r="A22" s="6" t="s">
        <v>38</v>
      </c>
      <c r="B22" s="7" t="s">
        <v>182</v>
      </c>
      <c r="C22" s="8">
        <v>1197908.79</v>
      </c>
      <c r="D22" s="8">
        <v>41726.519999999997</v>
      </c>
      <c r="E22" s="9">
        <v>3.4832802253667403E-2</v>
      </c>
      <c r="F22" s="10" t="s">
        <v>17</v>
      </c>
      <c r="G22" s="10" t="s">
        <v>17</v>
      </c>
    </row>
    <row r="23" spans="1:7" ht="15.75" x14ac:dyDescent="0.25">
      <c r="A23" s="6" t="s">
        <v>39</v>
      </c>
      <c r="B23" s="7" t="s">
        <v>186</v>
      </c>
      <c r="C23" s="8">
        <v>1126125.99</v>
      </c>
      <c r="D23" s="8">
        <v>30194.02</v>
      </c>
      <c r="E23" s="9">
        <v>2.6812293001069999E-2</v>
      </c>
      <c r="F23" s="10" t="s">
        <v>17</v>
      </c>
      <c r="G23" s="10" t="s">
        <v>17</v>
      </c>
    </row>
    <row r="24" spans="1:7" ht="15.75" x14ac:dyDescent="0.25">
      <c r="A24" s="6" t="s">
        <v>40</v>
      </c>
      <c r="B24" s="7" t="s">
        <v>180</v>
      </c>
      <c r="C24" s="8">
        <v>1125949.45</v>
      </c>
      <c r="D24" s="8">
        <v>318656</v>
      </c>
      <c r="E24" s="9">
        <v>0.28301092913185399</v>
      </c>
      <c r="F24" s="10" t="s">
        <v>17</v>
      </c>
      <c r="G24" s="10" t="s">
        <v>17</v>
      </c>
    </row>
    <row r="25" spans="1:7" ht="15.75" x14ac:dyDescent="0.25">
      <c r="A25" s="6" t="s">
        <v>41</v>
      </c>
      <c r="B25" s="7" t="s">
        <v>184</v>
      </c>
      <c r="C25" s="8">
        <v>1125254.3899999999</v>
      </c>
      <c r="D25" s="8">
        <v>120261.18</v>
      </c>
      <c r="E25" s="9">
        <v>0.10687465969361799</v>
      </c>
      <c r="F25" s="10" t="s">
        <v>17</v>
      </c>
      <c r="G25" s="10" t="s">
        <v>17</v>
      </c>
    </row>
    <row r="26" spans="1:7" ht="15.75" x14ac:dyDescent="0.25">
      <c r="A26" s="6" t="s">
        <v>42</v>
      </c>
      <c r="B26" s="7" t="s">
        <v>189</v>
      </c>
      <c r="C26" s="8">
        <v>1113053.23</v>
      </c>
      <c r="D26" s="8">
        <v>307617.43</v>
      </c>
      <c r="E26" s="9">
        <v>0.276372613374474</v>
      </c>
      <c r="F26" s="10" t="s">
        <v>17</v>
      </c>
      <c r="G26" s="10" t="s">
        <v>17</v>
      </c>
    </row>
    <row r="27" spans="1:7" ht="15.75" x14ac:dyDescent="0.25">
      <c r="A27" s="6" t="s">
        <v>43</v>
      </c>
      <c r="B27" s="7" t="s">
        <v>179</v>
      </c>
      <c r="C27" s="8">
        <v>1103599.32</v>
      </c>
      <c r="D27" s="8">
        <v>241386.68</v>
      </c>
      <c r="E27" s="9">
        <v>0.21872673861379299</v>
      </c>
      <c r="F27" s="10" t="s">
        <v>4</v>
      </c>
      <c r="G27" s="11">
        <f>(D27 / F27)</f>
        <v>40.231113333333333</v>
      </c>
    </row>
    <row r="28" spans="1:7" ht="15.75" x14ac:dyDescent="0.25">
      <c r="A28" s="6" t="s">
        <v>44</v>
      </c>
      <c r="B28" s="7" t="s">
        <v>225</v>
      </c>
      <c r="C28" s="8">
        <v>1024993.78</v>
      </c>
      <c r="D28" s="8">
        <v>662208.54</v>
      </c>
      <c r="E28" s="9">
        <v>0.64606103268255899</v>
      </c>
      <c r="F28" s="10" t="s">
        <v>12</v>
      </c>
      <c r="G28" s="11">
        <f>(D28 / F28)</f>
        <v>147.15745333333334</v>
      </c>
    </row>
    <row r="29" spans="1:7" ht="15.75" x14ac:dyDescent="0.25">
      <c r="A29" s="12" t="s">
        <v>45</v>
      </c>
      <c r="B29" s="13" t="s">
        <v>181</v>
      </c>
      <c r="C29" s="14">
        <v>1008973.4333</v>
      </c>
      <c r="D29" s="14">
        <v>226658.27</v>
      </c>
      <c r="E29" s="15">
        <v>0.22464245590558299</v>
      </c>
      <c r="F29" s="16" t="s">
        <v>6</v>
      </c>
      <c r="G29" s="17">
        <f>(D29 / F29)</f>
        <v>22.665827</v>
      </c>
    </row>
    <row r="30" spans="1:7" ht="15.75" x14ac:dyDescent="0.25">
      <c r="A30" s="6" t="s">
        <v>46</v>
      </c>
      <c r="B30" s="7" t="s">
        <v>206</v>
      </c>
      <c r="C30" s="8">
        <v>1005737.18</v>
      </c>
      <c r="D30" s="8">
        <v>406758.37</v>
      </c>
      <c r="E30" s="9">
        <v>0.40443803618754598</v>
      </c>
      <c r="F30" s="10" t="s">
        <v>17</v>
      </c>
      <c r="G30" s="10" t="s">
        <v>17</v>
      </c>
    </row>
    <row r="31" spans="1:7" ht="15.75" x14ac:dyDescent="0.25">
      <c r="A31" s="6" t="s">
        <v>47</v>
      </c>
      <c r="B31" s="7" t="s">
        <v>300</v>
      </c>
      <c r="C31" s="8">
        <v>974052.86</v>
      </c>
      <c r="D31" s="8">
        <v>254113.33</v>
      </c>
      <c r="E31" s="9">
        <v>0.26088248434484301</v>
      </c>
      <c r="F31" s="10" t="s">
        <v>17</v>
      </c>
      <c r="G31" s="10" t="s">
        <v>17</v>
      </c>
    </row>
    <row r="32" spans="1:7" ht="15.75" x14ac:dyDescent="0.25">
      <c r="A32" s="6" t="s">
        <v>48</v>
      </c>
      <c r="B32" s="7" t="s">
        <v>188</v>
      </c>
      <c r="C32" s="8">
        <v>957224.46</v>
      </c>
      <c r="D32" s="8">
        <v>176543.38</v>
      </c>
      <c r="E32" s="9">
        <v>0.18443258334623</v>
      </c>
      <c r="F32" s="10" t="s">
        <v>17</v>
      </c>
      <c r="G32" s="10" t="s">
        <v>17</v>
      </c>
    </row>
    <row r="33" spans="1:7" ht="15.75" x14ac:dyDescent="0.25">
      <c r="A33" s="6" t="s">
        <v>49</v>
      </c>
      <c r="B33" s="7" t="s">
        <v>187</v>
      </c>
      <c r="C33" s="8">
        <v>953830.89</v>
      </c>
      <c r="D33" s="8">
        <v>217407.49</v>
      </c>
      <c r="E33" s="9">
        <v>0.227930854703185</v>
      </c>
      <c r="F33" s="10" t="s">
        <v>17</v>
      </c>
      <c r="G33" s="10" t="s">
        <v>17</v>
      </c>
    </row>
    <row r="34" spans="1:7" ht="15.75" x14ac:dyDescent="0.25">
      <c r="A34" s="6" t="s">
        <v>50</v>
      </c>
      <c r="B34" s="7" t="s">
        <v>199</v>
      </c>
      <c r="C34" s="8">
        <v>927297.54</v>
      </c>
      <c r="D34" s="8">
        <v>300749.27</v>
      </c>
      <c r="E34" s="9">
        <v>0.32432876938291</v>
      </c>
      <c r="F34" s="10" t="s">
        <v>12</v>
      </c>
      <c r="G34" s="11">
        <f>(D34 / F34)</f>
        <v>66.833171111111113</v>
      </c>
    </row>
    <row r="35" spans="1:7" ht="15.75" x14ac:dyDescent="0.25">
      <c r="A35" s="6" t="s">
        <v>51</v>
      </c>
      <c r="B35" s="7" t="s">
        <v>174</v>
      </c>
      <c r="C35" s="8">
        <v>926882.89</v>
      </c>
      <c r="D35" s="8">
        <v>800680.88</v>
      </c>
      <c r="E35" s="9">
        <v>0.86384255081027606</v>
      </c>
      <c r="F35" s="10" t="s">
        <v>17</v>
      </c>
      <c r="G35" s="10" t="s">
        <v>17</v>
      </c>
    </row>
    <row r="36" spans="1:7" ht="15.75" x14ac:dyDescent="0.25">
      <c r="A36" s="6" t="s">
        <v>52</v>
      </c>
      <c r="B36" s="7" t="s">
        <v>185</v>
      </c>
      <c r="C36" s="8">
        <v>897666.99</v>
      </c>
      <c r="D36" s="8">
        <v>202621.54</v>
      </c>
      <c r="E36" s="9">
        <v>0.225720163776993</v>
      </c>
      <c r="F36" s="10" t="s">
        <v>7</v>
      </c>
      <c r="G36" s="11">
        <f>(D36 / F36)</f>
        <v>57.891868571428574</v>
      </c>
    </row>
    <row r="37" spans="1:7" ht="15.75" x14ac:dyDescent="0.25">
      <c r="A37" s="6" t="s">
        <v>53</v>
      </c>
      <c r="B37" s="7" t="s">
        <v>190</v>
      </c>
      <c r="C37" s="8">
        <v>881666.33</v>
      </c>
      <c r="D37" s="8">
        <v>250617.3</v>
      </c>
      <c r="E37" s="9">
        <v>0.28425413500819502</v>
      </c>
      <c r="F37" s="10" t="s">
        <v>17</v>
      </c>
      <c r="G37" s="10" t="s">
        <v>17</v>
      </c>
    </row>
    <row r="38" spans="1:7" ht="15.75" x14ac:dyDescent="0.25">
      <c r="A38" s="6" t="s">
        <v>54</v>
      </c>
      <c r="B38" s="7" t="s">
        <v>194</v>
      </c>
      <c r="C38" s="8">
        <v>846549.99</v>
      </c>
      <c r="D38" s="8">
        <v>168224.75</v>
      </c>
      <c r="E38" s="9">
        <v>0.198718034359672</v>
      </c>
      <c r="F38" s="10" t="s">
        <v>10</v>
      </c>
      <c r="G38" s="11">
        <f>(D38 / F38)</f>
        <v>336.4495</v>
      </c>
    </row>
    <row r="39" spans="1:7" ht="15.75" x14ac:dyDescent="0.25">
      <c r="A39" s="6" t="s">
        <v>55</v>
      </c>
      <c r="B39" s="7" t="s">
        <v>192</v>
      </c>
      <c r="C39" s="8">
        <v>839082.26</v>
      </c>
      <c r="D39" s="8">
        <v>185635.75</v>
      </c>
      <c r="E39" s="9">
        <v>0.22123665205363799</v>
      </c>
      <c r="F39" s="10" t="s">
        <v>17</v>
      </c>
      <c r="G39" s="10" t="s">
        <v>17</v>
      </c>
    </row>
    <row r="40" spans="1:7" ht="15.75" x14ac:dyDescent="0.25">
      <c r="A40" s="6" t="s">
        <v>56</v>
      </c>
      <c r="B40" s="7" t="s">
        <v>193</v>
      </c>
      <c r="C40" s="8">
        <v>812221.51</v>
      </c>
      <c r="D40" s="8">
        <v>162788.63</v>
      </c>
      <c r="E40" s="9">
        <v>0.20042393361387301</v>
      </c>
      <c r="F40" s="10" t="s">
        <v>9</v>
      </c>
      <c r="G40" s="11">
        <f>(D40 / F40)</f>
        <v>63.83867843137255</v>
      </c>
    </row>
    <row r="41" spans="1:7" ht="15.75" x14ac:dyDescent="0.25">
      <c r="A41" s="6" t="s">
        <v>57</v>
      </c>
      <c r="B41" s="7" t="s">
        <v>191</v>
      </c>
      <c r="C41" s="8">
        <v>800939.89</v>
      </c>
      <c r="D41" s="8">
        <v>169160.23</v>
      </c>
      <c r="E41" s="9">
        <v>0.21120215400933501</v>
      </c>
      <c r="F41" s="10" t="s">
        <v>8</v>
      </c>
      <c r="G41" s="11">
        <f>(D41 / F41)</f>
        <v>62.651937037037044</v>
      </c>
    </row>
    <row r="42" spans="1:7" ht="15.75" x14ac:dyDescent="0.25">
      <c r="A42" s="6" t="s">
        <v>58</v>
      </c>
      <c r="B42" s="7" t="s">
        <v>195</v>
      </c>
      <c r="C42" s="8">
        <v>800604.29</v>
      </c>
      <c r="D42" s="8">
        <v>193762.49</v>
      </c>
      <c r="E42" s="9">
        <v>0.242020299441563</v>
      </c>
      <c r="F42" s="10" t="s">
        <v>17</v>
      </c>
      <c r="G42" s="10" t="s">
        <v>17</v>
      </c>
    </row>
    <row r="43" spans="1:7" ht="15.75" x14ac:dyDescent="0.25">
      <c r="A43" s="6" t="s">
        <v>59</v>
      </c>
      <c r="B43" s="7" t="s">
        <v>301</v>
      </c>
      <c r="C43" s="8">
        <v>800411.71</v>
      </c>
      <c r="D43" s="8">
        <v>487685.02</v>
      </c>
      <c r="E43" s="9">
        <v>0.60929271012289399</v>
      </c>
      <c r="F43" s="10" t="s">
        <v>17</v>
      </c>
      <c r="G43" s="10" t="s">
        <v>17</v>
      </c>
    </row>
    <row r="44" spans="1:7" ht="15.75" x14ac:dyDescent="0.25">
      <c r="A44" s="6" t="s">
        <v>60</v>
      </c>
      <c r="B44" s="7" t="s">
        <v>219</v>
      </c>
      <c r="C44" s="8">
        <v>793332.57</v>
      </c>
      <c r="D44" s="8">
        <v>247489.32</v>
      </c>
      <c r="E44" s="9">
        <v>0.31196162789585202</v>
      </c>
      <c r="F44" s="10" t="s">
        <v>17</v>
      </c>
      <c r="G44" s="10" t="s">
        <v>17</v>
      </c>
    </row>
    <row r="45" spans="1:7" ht="15.75" x14ac:dyDescent="0.25">
      <c r="A45" s="6" t="s">
        <v>61</v>
      </c>
      <c r="B45" s="7" t="s">
        <v>302</v>
      </c>
      <c r="C45" s="8">
        <v>751027.06</v>
      </c>
      <c r="D45" s="8">
        <v>403397.72</v>
      </c>
      <c r="E45" s="9">
        <v>0.53712807631725001</v>
      </c>
      <c r="F45" s="10" t="s">
        <v>17</v>
      </c>
      <c r="G45" s="10" t="s">
        <v>17</v>
      </c>
    </row>
    <row r="46" spans="1:7" ht="15.75" x14ac:dyDescent="0.25">
      <c r="A46" s="6" t="s">
        <v>62</v>
      </c>
      <c r="B46" s="7" t="s">
        <v>252</v>
      </c>
      <c r="C46" s="8">
        <v>711640.66</v>
      </c>
      <c r="D46" s="8">
        <v>147087.96</v>
      </c>
      <c r="E46" s="9">
        <v>0.206688527325013</v>
      </c>
      <c r="F46" s="10" t="s">
        <v>17</v>
      </c>
      <c r="G46" s="10" t="s">
        <v>17</v>
      </c>
    </row>
    <row r="47" spans="1:7" ht="15.75" x14ac:dyDescent="0.25">
      <c r="A47" s="6" t="s">
        <v>63</v>
      </c>
      <c r="B47" s="7" t="s">
        <v>196</v>
      </c>
      <c r="C47" s="8">
        <v>698974.84</v>
      </c>
      <c r="D47" s="8">
        <v>103116.21</v>
      </c>
      <c r="E47" s="9">
        <v>0.147524923786956</v>
      </c>
      <c r="F47" s="10" t="s">
        <v>17</v>
      </c>
      <c r="G47" s="10" t="s">
        <v>17</v>
      </c>
    </row>
    <row r="48" spans="1:7" ht="15.75" x14ac:dyDescent="0.25">
      <c r="A48" s="6" t="s">
        <v>64</v>
      </c>
      <c r="B48" s="7" t="s">
        <v>198</v>
      </c>
      <c r="C48" s="8">
        <v>688598.45</v>
      </c>
      <c r="D48" s="8">
        <v>115108.45</v>
      </c>
      <c r="E48" s="9">
        <v>0.16716338818363599</v>
      </c>
      <c r="F48" s="10" t="s">
        <v>17</v>
      </c>
      <c r="G48" s="10" t="s">
        <v>17</v>
      </c>
    </row>
    <row r="49" spans="1:7" ht="15.75" x14ac:dyDescent="0.25">
      <c r="A49" s="6" t="s">
        <v>65</v>
      </c>
      <c r="B49" s="7" t="s">
        <v>213</v>
      </c>
      <c r="C49" s="8">
        <v>633869.89</v>
      </c>
      <c r="D49" s="8">
        <v>7016.97</v>
      </c>
      <c r="E49" s="9">
        <v>1.10700478295317E-2</v>
      </c>
      <c r="F49" s="10" t="s">
        <v>17</v>
      </c>
      <c r="G49" s="10" t="s">
        <v>17</v>
      </c>
    </row>
    <row r="50" spans="1:7" ht="15.75" x14ac:dyDescent="0.25">
      <c r="A50" s="6" t="s">
        <v>66</v>
      </c>
      <c r="B50" s="7" t="s">
        <v>201</v>
      </c>
      <c r="C50" s="8">
        <v>628129.68999999994</v>
      </c>
      <c r="D50" s="8">
        <v>117976.14</v>
      </c>
      <c r="E50" s="9">
        <v>0.18782130804866101</v>
      </c>
      <c r="F50" s="10" t="s">
        <v>13</v>
      </c>
      <c r="G50" s="11">
        <f>(D50 / F50)</f>
        <v>39.325380000000003</v>
      </c>
    </row>
    <row r="51" spans="1:7" ht="15.75" x14ac:dyDescent="0.25">
      <c r="A51" s="6" t="s">
        <v>67</v>
      </c>
      <c r="B51" s="7" t="s">
        <v>197</v>
      </c>
      <c r="C51" s="8">
        <v>615144.21</v>
      </c>
      <c r="D51" s="8">
        <v>163092.4</v>
      </c>
      <c r="E51" s="9">
        <v>0.265128724856241</v>
      </c>
      <c r="F51" s="10" t="s">
        <v>11</v>
      </c>
      <c r="G51" s="11">
        <f>(D51 / F51)</f>
        <v>43.336566234166533</v>
      </c>
    </row>
    <row r="52" spans="1:7" ht="15.75" x14ac:dyDescent="0.25">
      <c r="A52" s="6" t="s">
        <v>68</v>
      </c>
      <c r="B52" s="7" t="s">
        <v>205</v>
      </c>
      <c r="C52" s="8">
        <v>592274.89</v>
      </c>
      <c r="D52" s="8">
        <v>93825.46</v>
      </c>
      <c r="E52" s="9">
        <v>0.15841539390602899</v>
      </c>
      <c r="F52" s="10" t="s">
        <v>17</v>
      </c>
      <c r="G52" s="10" t="s">
        <v>17</v>
      </c>
    </row>
    <row r="53" spans="1:7" ht="15.75" x14ac:dyDescent="0.25">
      <c r="A53" s="6" t="s">
        <v>69</v>
      </c>
      <c r="B53" s="7" t="s">
        <v>329</v>
      </c>
      <c r="C53" s="8">
        <v>588516.56999999995</v>
      </c>
      <c r="D53" s="8">
        <v>454022.67</v>
      </c>
      <c r="E53" s="9">
        <v>0.77146964613077895</v>
      </c>
      <c r="F53" s="10" t="s">
        <v>17</v>
      </c>
      <c r="G53" s="10" t="s">
        <v>17</v>
      </c>
    </row>
    <row r="54" spans="1:7" ht="15.75" x14ac:dyDescent="0.25">
      <c r="A54" s="6" t="s">
        <v>70</v>
      </c>
      <c r="B54" s="7" t="s">
        <v>202</v>
      </c>
      <c r="C54" s="8">
        <v>555545.01</v>
      </c>
      <c r="D54" s="8">
        <v>126394.51</v>
      </c>
      <c r="E54" s="9">
        <v>0.22751443667903701</v>
      </c>
      <c r="F54" s="10" t="s">
        <v>17</v>
      </c>
      <c r="G54" s="10" t="s">
        <v>17</v>
      </c>
    </row>
    <row r="55" spans="1:7" ht="15.75" x14ac:dyDescent="0.25">
      <c r="A55" s="6" t="s">
        <v>71</v>
      </c>
      <c r="B55" s="7" t="s">
        <v>203</v>
      </c>
      <c r="C55" s="8">
        <v>546111.26</v>
      </c>
      <c r="D55" s="8">
        <v>61664.04</v>
      </c>
      <c r="E55" s="9">
        <v>0.112914793223637</v>
      </c>
      <c r="F55" s="10" t="s">
        <v>17</v>
      </c>
      <c r="G55" s="10" t="s">
        <v>17</v>
      </c>
    </row>
    <row r="56" spans="1:7" ht="15.75" x14ac:dyDescent="0.25">
      <c r="A56" s="6" t="s">
        <v>72</v>
      </c>
      <c r="B56" s="7" t="s">
        <v>204</v>
      </c>
      <c r="C56" s="8">
        <v>520836.98</v>
      </c>
      <c r="D56" s="8">
        <v>118255.25</v>
      </c>
      <c r="E56" s="9">
        <v>0.22704849029728999</v>
      </c>
      <c r="F56" s="10" t="s">
        <v>17</v>
      </c>
      <c r="G56" s="10" t="s">
        <v>17</v>
      </c>
    </row>
    <row r="57" spans="1:7" ht="15.75" x14ac:dyDescent="0.25">
      <c r="A57" s="6" t="s">
        <v>73</v>
      </c>
      <c r="B57" s="7" t="s">
        <v>237</v>
      </c>
      <c r="C57" s="8">
        <v>488027.41</v>
      </c>
      <c r="D57" s="8">
        <v>201829.64</v>
      </c>
      <c r="E57" s="9">
        <v>0.41356209889932199</v>
      </c>
      <c r="F57" s="10" t="s">
        <v>17</v>
      </c>
      <c r="G57" s="10" t="s">
        <v>17</v>
      </c>
    </row>
    <row r="58" spans="1:7" ht="15.75" x14ac:dyDescent="0.25">
      <c r="A58" s="6" t="s">
        <v>74</v>
      </c>
      <c r="B58" s="7" t="s">
        <v>200</v>
      </c>
      <c r="C58" s="8">
        <v>464658.48</v>
      </c>
      <c r="D58" s="8">
        <v>109102.59</v>
      </c>
      <c r="E58" s="9">
        <v>0.23480167627630499</v>
      </c>
      <c r="F58" s="10" t="s">
        <v>17</v>
      </c>
      <c r="G58" s="10" t="s">
        <v>17</v>
      </c>
    </row>
    <row r="59" spans="1:7" ht="15.75" x14ac:dyDescent="0.25">
      <c r="A59" s="6" t="s">
        <v>75</v>
      </c>
      <c r="B59" s="7" t="s">
        <v>208</v>
      </c>
      <c r="C59" s="8">
        <v>461452.87219999998</v>
      </c>
      <c r="D59" s="8">
        <v>91750.57</v>
      </c>
      <c r="E59" s="9">
        <v>0.19882977336900001</v>
      </c>
      <c r="F59" s="10" t="s">
        <v>14</v>
      </c>
      <c r="G59" s="11">
        <f>(D59 / F59)</f>
        <v>36.700228000000003</v>
      </c>
    </row>
    <row r="60" spans="1:7" ht="15.75" x14ac:dyDescent="0.25">
      <c r="A60" s="6" t="s">
        <v>76</v>
      </c>
      <c r="B60" s="7" t="s">
        <v>215</v>
      </c>
      <c r="C60" s="8">
        <v>459702.34</v>
      </c>
      <c r="D60" s="8">
        <v>76005.94</v>
      </c>
      <c r="E60" s="9">
        <v>0.165337291952875</v>
      </c>
      <c r="F60" s="10" t="s">
        <v>17</v>
      </c>
      <c r="G60" s="10" t="s">
        <v>17</v>
      </c>
    </row>
    <row r="61" spans="1:7" ht="15.75" x14ac:dyDescent="0.25">
      <c r="A61" s="6" t="s">
        <v>77</v>
      </c>
      <c r="B61" s="7" t="s">
        <v>207</v>
      </c>
      <c r="C61" s="8">
        <v>452073.71</v>
      </c>
      <c r="D61" s="8">
        <v>152269.91</v>
      </c>
      <c r="E61" s="9">
        <v>0.33682540398113398</v>
      </c>
      <c r="F61" s="10" t="s">
        <v>17</v>
      </c>
      <c r="G61" s="10" t="s">
        <v>17</v>
      </c>
    </row>
    <row r="62" spans="1:7" ht="15.75" x14ac:dyDescent="0.25">
      <c r="A62" s="6" t="s">
        <v>78</v>
      </c>
      <c r="B62" s="7" t="s">
        <v>221</v>
      </c>
      <c r="C62" s="8">
        <v>450100.79</v>
      </c>
      <c r="D62" s="8">
        <v>157332.18</v>
      </c>
      <c r="E62" s="9">
        <v>0.349548775508703</v>
      </c>
      <c r="F62" s="10" t="s">
        <v>17</v>
      </c>
      <c r="G62" s="10" t="s">
        <v>17</v>
      </c>
    </row>
    <row r="63" spans="1:7" ht="15.75" x14ac:dyDescent="0.25">
      <c r="A63" s="6" t="s">
        <v>79</v>
      </c>
      <c r="B63" s="7" t="s">
        <v>250</v>
      </c>
      <c r="C63" s="8">
        <v>437092.12</v>
      </c>
      <c r="D63" s="8">
        <v>201172.68</v>
      </c>
      <c r="E63" s="9">
        <v>0.46025236053214602</v>
      </c>
      <c r="F63" s="10" t="s">
        <v>17</v>
      </c>
      <c r="G63" s="10" t="s">
        <v>17</v>
      </c>
    </row>
    <row r="64" spans="1:7" ht="15.75" x14ac:dyDescent="0.25">
      <c r="A64" s="6" t="s">
        <v>80</v>
      </c>
      <c r="B64" s="7" t="s">
        <v>223</v>
      </c>
      <c r="C64" s="8">
        <v>420931.19</v>
      </c>
      <c r="D64" s="8">
        <v>55826.03</v>
      </c>
      <c r="E64" s="9">
        <v>0.132625073471035</v>
      </c>
      <c r="F64" s="10" t="s">
        <v>17</v>
      </c>
      <c r="G64" s="10" t="s">
        <v>17</v>
      </c>
    </row>
    <row r="65" spans="1:7" ht="15.75" x14ac:dyDescent="0.25">
      <c r="A65" s="6" t="s">
        <v>81</v>
      </c>
      <c r="B65" s="7" t="s">
        <v>214</v>
      </c>
      <c r="C65" s="8">
        <v>405653.17</v>
      </c>
      <c r="D65" s="8">
        <v>27884.21</v>
      </c>
      <c r="E65" s="9">
        <v>6.8739041284947899E-2</v>
      </c>
      <c r="F65" s="10" t="s">
        <v>17</v>
      </c>
      <c r="G65" s="10" t="s">
        <v>17</v>
      </c>
    </row>
    <row r="66" spans="1:7" ht="15.75" x14ac:dyDescent="0.25">
      <c r="A66" s="6" t="s">
        <v>82</v>
      </c>
      <c r="B66" s="7" t="s">
        <v>211</v>
      </c>
      <c r="C66" s="8">
        <v>405133.02</v>
      </c>
      <c r="D66" s="8">
        <v>61762.82</v>
      </c>
      <c r="E66" s="9">
        <v>0.15245071853190301</v>
      </c>
      <c r="F66" s="10" t="s">
        <v>17</v>
      </c>
      <c r="G66" s="10" t="s">
        <v>17</v>
      </c>
    </row>
    <row r="67" spans="1:7" ht="15.75" x14ac:dyDescent="0.25">
      <c r="A67" s="6" t="s">
        <v>83</v>
      </c>
      <c r="B67" s="7" t="s">
        <v>224</v>
      </c>
      <c r="C67" s="8">
        <v>402420.6</v>
      </c>
      <c r="D67" s="8">
        <v>135196.74</v>
      </c>
      <c r="E67" s="9">
        <v>0.33595879534994</v>
      </c>
      <c r="F67" s="10" t="s">
        <v>17</v>
      </c>
      <c r="G67" s="10" t="s">
        <v>17</v>
      </c>
    </row>
    <row r="68" spans="1:7" ht="15.75" x14ac:dyDescent="0.25">
      <c r="A68" s="6" t="s">
        <v>84</v>
      </c>
      <c r="B68" s="7" t="s">
        <v>304</v>
      </c>
      <c r="C68" s="8">
        <v>400253.5</v>
      </c>
      <c r="D68" s="8">
        <v>27746.61</v>
      </c>
      <c r="E68" s="9">
        <v>6.9322591807442005E-2</v>
      </c>
      <c r="F68" s="10" t="s">
        <v>17</v>
      </c>
      <c r="G68" s="10" t="s">
        <v>17</v>
      </c>
    </row>
    <row r="69" spans="1:7" ht="15.75" x14ac:dyDescent="0.25">
      <c r="A69" s="6" t="s">
        <v>85</v>
      </c>
      <c r="B69" s="7" t="s">
        <v>212</v>
      </c>
      <c r="C69" s="8">
        <v>395228.61</v>
      </c>
      <c r="D69" s="8">
        <v>71753.919999999998</v>
      </c>
      <c r="E69" s="9">
        <v>0.18155041964193799</v>
      </c>
      <c r="F69" s="10" t="s">
        <v>17</v>
      </c>
      <c r="G69" s="10" t="s">
        <v>17</v>
      </c>
    </row>
    <row r="70" spans="1:7" ht="15.75" x14ac:dyDescent="0.25">
      <c r="A70" s="6" t="s">
        <v>86</v>
      </c>
      <c r="B70" s="7" t="s">
        <v>209</v>
      </c>
      <c r="C70" s="8">
        <v>394874.47</v>
      </c>
      <c r="D70" s="8">
        <v>74613.19</v>
      </c>
      <c r="E70" s="9">
        <v>0.18895420106546801</v>
      </c>
      <c r="F70" s="10" t="s">
        <v>17</v>
      </c>
      <c r="G70" s="10" t="s">
        <v>17</v>
      </c>
    </row>
    <row r="71" spans="1:7" ht="15.75" x14ac:dyDescent="0.25">
      <c r="A71" s="6" t="s">
        <v>87</v>
      </c>
      <c r="B71" s="7" t="s">
        <v>210</v>
      </c>
      <c r="C71" s="8">
        <v>374789.9</v>
      </c>
      <c r="D71" s="8">
        <v>74290.100000000006</v>
      </c>
      <c r="E71" s="9">
        <v>0.19821798826489201</v>
      </c>
      <c r="F71" s="10" t="s">
        <v>17</v>
      </c>
      <c r="G71" s="10" t="s">
        <v>17</v>
      </c>
    </row>
    <row r="72" spans="1:7" ht="15.75" x14ac:dyDescent="0.25">
      <c r="A72" s="6" t="s">
        <v>88</v>
      </c>
      <c r="B72" s="7" t="s">
        <v>220</v>
      </c>
      <c r="C72" s="8">
        <v>358935.98</v>
      </c>
      <c r="D72" s="8">
        <v>64002.69</v>
      </c>
      <c r="E72" s="9">
        <v>0.17831227173157699</v>
      </c>
      <c r="F72" s="10" t="s">
        <v>17</v>
      </c>
      <c r="G72" s="10" t="s">
        <v>17</v>
      </c>
    </row>
    <row r="73" spans="1:7" ht="15.75" x14ac:dyDescent="0.25">
      <c r="A73" s="6" t="s">
        <v>89</v>
      </c>
      <c r="B73" s="7" t="s">
        <v>222</v>
      </c>
      <c r="C73" s="8">
        <v>349875.85</v>
      </c>
      <c r="D73" s="8">
        <v>43822.35</v>
      </c>
      <c r="E73" s="9">
        <v>0.12525114265531601</v>
      </c>
      <c r="F73" s="10" t="s">
        <v>17</v>
      </c>
      <c r="G73" s="10" t="s">
        <v>17</v>
      </c>
    </row>
    <row r="74" spans="1:7" ht="15.75" x14ac:dyDescent="0.25">
      <c r="A74" s="6" t="s">
        <v>90</v>
      </c>
      <c r="B74" s="7" t="s">
        <v>218</v>
      </c>
      <c r="C74" s="8">
        <v>341721.62</v>
      </c>
      <c r="D74" s="8">
        <v>57586.74</v>
      </c>
      <c r="E74" s="9">
        <v>0.168519451593376</v>
      </c>
      <c r="F74" s="10" t="s">
        <v>17</v>
      </c>
      <c r="G74" s="10" t="s">
        <v>17</v>
      </c>
    </row>
    <row r="75" spans="1:7" ht="15.75" x14ac:dyDescent="0.25">
      <c r="A75" s="6" t="s">
        <v>91</v>
      </c>
      <c r="B75" s="7" t="s">
        <v>217</v>
      </c>
      <c r="C75" s="8">
        <v>340956.17</v>
      </c>
      <c r="D75" s="8">
        <v>61457.35</v>
      </c>
      <c r="E75" s="9">
        <v>0.18025000104852201</v>
      </c>
      <c r="F75" s="10" t="s">
        <v>15</v>
      </c>
      <c r="G75" s="11">
        <f>(D75 / F75)</f>
        <v>61.457349999999998</v>
      </c>
    </row>
    <row r="76" spans="1:7" ht="15.75" x14ac:dyDescent="0.25">
      <c r="A76" s="6" t="s">
        <v>92</v>
      </c>
      <c r="B76" s="7" t="s">
        <v>216</v>
      </c>
      <c r="C76" s="8">
        <v>317857.84999999998</v>
      </c>
      <c r="D76" s="8">
        <v>166144.54</v>
      </c>
      <c r="E76" s="9">
        <v>0.52270076073313898</v>
      </c>
      <c r="F76" s="10" t="s">
        <v>17</v>
      </c>
      <c r="G76" s="10" t="s">
        <v>17</v>
      </c>
    </row>
    <row r="77" spans="1:7" ht="15.75" x14ac:dyDescent="0.25">
      <c r="A77" s="6" t="s">
        <v>93</v>
      </c>
      <c r="B77" s="7" t="s">
        <v>227</v>
      </c>
      <c r="C77" s="8">
        <v>315714.03000000003</v>
      </c>
      <c r="D77" s="8">
        <v>30807.88</v>
      </c>
      <c r="E77" s="9">
        <v>9.7581599398671004E-2</v>
      </c>
      <c r="F77" s="10" t="s">
        <v>17</v>
      </c>
      <c r="G77" s="10" t="s">
        <v>17</v>
      </c>
    </row>
    <row r="78" spans="1:7" ht="15.75" x14ac:dyDescent="0.25">
      <c r="A78" s="6" t="s">
        <v>94</v>
      </c>
      <c r="B78" s="7" t="s">
        <v>226</v>
      </c>
      <c r="C78" s="8">
        <v>315092.65999999997</v>
      </c>
      <c r="D78" s="8">
        <v>20226.73</v>
      </c>
      <c r="E78" s="9">
        <v>6.4192958350727705E-2</v>
      </c>
      <c r="F78" s="10" t="s">
        <v>17</v>
      </c>
      <c r="G78" s="10" t="s">
        <v>17</v>
      </c>
    </row>
    <row r="79" spans="1:7" ht="15.75" x14ac:dyDescent="0.25">
      <c r="A79" s="6" t="s">
        <v>95</v>
      </c>
      <c r="B79" s="7" t="s">
        <v>303</v>
      </c>
      <c r="C79" s="8">
        <v>311669.96000000002</v>
      </c>
      <c r="D79" s="8">
        <v>32098.33</v>
      </c>
      <c r="E79" s="9">
        <v>0.10298820585724699</v>
      </c>
      <c r="F79" s="10" t="s">
        <v>17</v>
      </c>
      <c r="G79" s="10" t="s">
        <v>17</v>
      </c>
    </row>
    <row r="80" spans="1:7" ht="15.75" x14ac:dyDescent="0.25">
      <c r="A80" s="6" t="s">
        <v>96</v>
      </c>
      <c r="B80" s="7" t="s">
        <v>228</v>
      </c>
      <c r="C80" s="8">
        <v>287376.15999999997</v>
      </c>
      <c r="D80" s="8">
        <v>14430.33</v>
      </c>
      <c r="E80" s="9">
        <v>5.0214081780478897E-2</v>
      </c>
      <c r="F80" s="10" t="s">
        <v>17</v>
      </c>
      <c r="G80" s="10" t="s">
        <v>17</v>
      </c>
    </row>
    <row r="81" spans="1:7" ht="15.75" x14ac:dyDescent="0.25">
      <c r="A81" s="6" t="s">
        <v>97</v>
      </c>
      <c r="B81" s="7" t="s">
        <v>229</v>
      </c>
      <c r="C81" s="8">
        <v>282610.95</v>
      </c>
      <c r="D81" s="8">
        <v>38882.870000000003</v>
      </c>
      <c r="E81" s="9">
        <v>0.13758444249948601</v>
      </c>
      <c r="F81" s="10" t="s">
        <v>17</v>
      </c>
      <c r="G81" s="10" t="s">
        <v>17</v>
      </c>
    </row>
    <row r="82" spans="1:7" ht="15.75" x14ac:dyDescent="0.25">
      <c r="A82" s="6" t="s">
        <v>98</v>
      </c>
      <c r="B82" s="7" t="s">
        <v>232</v>
      </c>
      <c r="C82" s="8">
        <v>273125.81</v>
      </c>
      <c r="D82" s="8">
        <v>15814.05</v>
      </c>
      <c r="E82" s="9">
        <v>5.7900240186015403E-2</v>
      </c>
      <c r="F82" s="10" t="s">
        <v>17</v>
      </c>
      <c r="G82" s="10" t="s">
        <v>17</v>
      </c>
    </row>
    <row r="83" spans="1:7" ht="15.75" x14ac:dyDescent="0.25">
      <c r="A83" s="6" t="s">
        <v>99</v>
      </c>
      <c r="B83" s="7" t="s">
        <v>231</v>
      </c>
      <c r="C83" s="8">
        <v>271235.18</v>
      </c>
      <c r="D83" s="8">
        <v>29543.439999999999</v>
      </c>
      <c r="E83" s="9">
        <v>0.10892185888276</v>
      </c>
      <c r="F83" s="10" t="s">
        <v>17</v>
      </c>
      <c r="G83" s="10" t="s">
        <v>17</v>
      </c>
    </row>
    <row r="84" spans="1:7" ht="15.75" x14ac:dyDescent="0.25">
      <c r="A84" s="6" t="s">
        <v>100</v>
      </c>
      <c r="B84" s="7" t="s">
        <v>254</v>
      </c>
      <c r="C84" s="8">
        <v>270841.40000000002</v>
      </c>
      <c r="D84" s="8">
        <v>37781.56</v>
      </c>
      <c r="E84" s="9">
        <v>0.13949698975119801</v>
      </c>
      <c r="F84" s="10" t="s">
        <v>17</v>
      </c>
      <c r="G84" s="10" t="s">
        <v>17</v>
      </c>
    </row>
    <row r="85" spans="1:7" ht="15.75" x14ac:dyDescent="0.25">
      <c r="A85" s="6" t="s">
        <v>101</v>
      </c>
      <c r="B85" s="7" t="s">
        <v>234</v>
      </c>
      <c r="C85" s="8">
        <v>260744.95999999999</v>
      </c>
      <c r="D85" s="8">
        <v>25306.18</v>
      </c>
      <c r="E85" s="9">
        <v>9.7053381204376898E-2</v>
      </c>
      <c r="F85" s="10" t="s">
        <v>17</v>
      </c>
      <c r="G85" s="10" t="s">
        <v>17</v>
      </c>
    </row>
    <row r="86" spans="1:7" ht="15.75" x14ac:dyDescent="0.25">
      <c r="A86" s="6" t="s">
        <v>102</v>
      </c>
      <c r="B86" s="7" t="s">
        <v>233</v>
      </c>
      <c r="C86" s="8">
        <v>253857.44</v>
      </c>
      <c r="D86" s="8">
        <v>50567.1</v>
      </c>
      <c r="E86" s="9">
        <v>0.199194870948041</v>
      </c>
      <c r="F86" s="10" t="s">
        <v>17</v>
      </c>
      <c r="G86" s="10" t="s">
        <v>17</v>
      </c>
    </row>
    <row r="87" spans="1:7" ht="15.75" x14ac:dyDescent="0.25">
      <c r="A87" s="6" t="s">
        <v>103</v>
      </c>
      <c r="B87" s="7" t="s">
        <v>235</v>
      </c>
      <c r="C87" s="8">
        <v>235018.1</v>
      </c>
      <c r="D87" s="8">
        <v>31067.08</v>
      </c>
      <c r="E87" s="9">
        <v>0.13219015897073499</v>
      </c>
      <c r="F87" s="10" t="s">
        <v>17</v>
      </c>
      <c r="G87" s="10" t="s">
        <v>17</v>
      </c>
    </row>
    <row r="88" spans="1:7" ht="15.75" x14ac:dyDescent="0.25">
      <c r="A88" s="6" t="s">
        <v>104</v>
      </c>
      <c r="B88" s="7" t="s">
        <v>236</v>
      </c>
      <c r="C88" s="8">
        <v>224233.58</v>
      </c>
      <c r="D88" s="8">
        <v>80251.05</v>
      </c>
      <c r="E88" s="9">
        <v>0.35789041944565098</v>
      </c>
      <c r="F88" s="10" t="s">
        <v>17</v>
      </c>
      <c r="G88" s="10" t="s">
        <v>17</v>
      </c>
    </row>
    <row r="89" spans="1:7" ht="15.75" x14ac:dyDescent="0.25">
      <c r="A89" s="6" t="s">
        <v>105</v>
      </c>
      <c r="B89" s="7" t="s">
        <v>305</v>
      </c>
      <c r="C89" s="8">
        <v>212173.74</v>
      </c>
      <c r="D89" s="8">
        <v>133158.68</v>
      </c>
      <c r="E89" s="9">
        <v>0.62759265119236696</v>
      </c>
      <c r="F89" s="10" t="s">
        <v>17</v>
      </c>
      <c r="G89" s="10" t="s">
        <v>17</v>
      </c>
    </row>
    <row r="90" spans="1:7" ht="15.75" x14ac:dyDescent="0.25">
      <c r="A90" s="12" t="s">
        <v>106</v>
      </c>
      <c r="B90" s="13" t="s">
        <v>230</v>
      </c>
      <c r="C90" s="14">
        <v>201304.13</v>
      </c>
      <c r="D90" s="14">
        <v>43809.919999999998</v>
      </c>
      <c r="E90" s="15">
        <v>0.21763050763041999</v>
      </c>
      <c r="F90" s="16" t="s">
        <v>292</v>
      </c>
      <c r="G90" s="17">
        <f>(D90 / F90)</f>
        <v>11.840518918918919</v>
      </c>
    </row>
    <row r="91" spans="1:7" ht="15.75" x14ac:dyDescent="0.25">
      <c r="A91" s="6" t="s">
        <v>107</v>
      </c>
      <c r="B91" s="7" t="s">
        <v>307</v>
      </c>
      <c r="C91" s="8">
        <v>199575.42</v>
      </c>
      <c r="D91" s="8">
        <v>102302.78</v>
      </c>
      <c r="E91" s="9">
        <v>0.51260210300446796</v>
      </c>
      <c r="F91" s="10" t="s">
        <v>17</v>
      </c>
      <c r="G91" s="10" t="s">
        <v>17</v>
      </c>
    </row>
    <row r="92" spans="1:7" ht="15.75" x14ac:dyDescent="0.25">
      <c r="A92" s="6" t="s">
        <v>108</v>
      </c>
      <c r="B92" s="7" t="s">
        <v>238</v>
      </c>
      <c r="C92" s="8">
        <v>197940</v>
      </c>
      <c r="D92" s="8">
        <v>12100.47</v>
      </c>
      <c r="E92" s="9">
        <v>6.1132009699909097E-2</v>
      </c>
      <c r="F92" s="10" t="s">
        <v>17</v>
      </c>
      <c r="G92" s="10" t="s">
        <v>17</v>
      </c>
    </row>
    <row r="93" spans="1:7" ht="15.75" x14ac:dyDescent="0.25">
      <c r="A93" s="6" t="s">
        <v>109</v>
      </c>
      <c r="B93" s="7" t="s">
        <v>239</v>
      </c>
      <c r="C93" s="8">
        <v>190007.19</v>
      </c>
      <c r="D93" s="8">
        <v>159787.15</v>
      </c>
      <c r="E93" s="9">
        <v>0.84095317656137103</v>
      </c>
      <c r="F93" s="10" t="s">
        <v>17</v>
      </c>
      <c r="G93" s="10" t="s">
        <v>17</v>
      </c>
    </row>
    <row r="94" spans="1:7" ht="15.75" x14ac:dyDescent="0.25">
      <c r="A94" s="6" t="s">
        <v>110</v>
      </c>
      <c r="B94" s="7" t="s">
        <v>320</v>
      </c>
      <c r="C94" s="8">
        <v>171299.14</v>
      </c>
      <c r="D94" s="8">
        <v>68644.759999999995</v>
      </c>
      <c r="E94" s="9">
        <v>0.40073032474068498</v>
      </c>
      <c r="F94" s="10" t="s">
        <v>17</v>
      </c>
      <c r="G94" s="10" t="s">
        <v>17</v>
      </c>
    </row>
    <row r="95" spans="1:7" ht="15.75" x14ac:dyDescent="0.25">
      <c r="A95" s="6" t="s">
        <v>111</v>
      </c>
      <c r="B95" s="7" t="s">
        <v>275</v>
      </c>
      <c r="C95" s="8">
        <v>166135.12</v>
      </c>
      <c r="D95" s="8">
        <v>12278.37</v>
      </c>
      <c r="E95" s="9">
        <v>7.3905926693886306E-2</v>
      </c>
      <c r="F95" s="10" t="s">
        <v>17</v>
      </c>
      <c r="G95" s="10" t="s">
        <v>17</v>
      </c>
    </row>
    <row r="96" spans="1:7" ht="15.75" x14ac:dyDescent="0.25">
      <c r="A96" s="6" t="s">
        <v>112</v>
      </c>
      <c r="B96" s="7" t="s">
        <v>240</v>
      </c>
      <c r="C96" s="8">
        <v>158236.57</v>
      </c>
      <c r="D96" s="8">
        <v>12008.09</v>
      </c>
      <c r="E96" s="9">
        <v>7.58869457294227E-2</v>
      </c>
      <c r="F96" s="10" t="s">
        <v>17</v>
      </c>
      <c r="G96" s="10" t="s">
        <v>17</v>
      </c>
    </row>
    <row r="97" spans="1:7" ht="15.75" x14ac:dyDescent="0.25">
      <c r="A97" s="6" t="s">
        <v>113</v>
      </c>
      <c r="B97" s="7" t="s">
        <v>276</v>
      </c>
      <c r="C97" s="8">
        <v>151644.79</v>
      </c>
      <c r="D97" s="8">
        <v>25493.48</v>
      </c>
      <c r="E97" s="9">
        <v>0.16811312805405301</v>
      </c>
      <c r="F97" s="10" t="s">
        <v>17</v>
      </c>
      <c r="G97" s="10" t="s">
        <v>17</v>
      </c>
    </row>
    <row r="98" spans="1:7" ht="15.75" x14ac:dyDescent="0.25">
      <c r="A98" s="6" t="s">
        <v>114</v>
      </c>
      <c r="B98" s="7" t="s">
        <v>243</v>
      </c>
      <c r="C98" s="8">
        <v>147781.82999999999</v>
      </c>
      <c r="D98" s="8">
        <v>13830.65</v>
      </c>
      <c r="E98" s="9">
        <v>9.3588298371998793E-2</v>
      </c>
      <c r="F98" s="10" t="s">
        <v>17</v>
      </c>
      <c r="G98" s="10" t="s">
        <v>17</v>
      </c>
    </row>
    <row r="99" spans="1:7" ht="15.75" x14ac:dyDescent="0.25">
      <c r="A99" s="6" t="s">
        <v>115</v>
      </c>
      <c r="B99" s="7" t="s">
        <v>241</v>
      </c>
      <c r="C99" s="8">
        <v>143240.56</v>
      </c>
      <c r="D99" s="8">
        <v>15694.73</v>
      </c>
      <c r="E99" s="9">
        <v>0.10956903547431</v>
      </c>
      <c r="F99" s="10" t="s">
        <v>16</v>
      </c>
      <c r="G99" s="11">
        <f>(D99 / F99)</f>
        <v>43.840027932960894</v>
      </c>
    </row>
    <row r="100" spans="1:7" ht="15.75" x14ac:dyDescent="0.25">
      <c r="A100" s="6" t="s">
        <v>116</v>
      </c>
      <c r="B100" s="7" t="s">
        <v>244</v>
      </c>
      <c r="C100" s="8">
        <v>139130.59</v>
      </c>
      <c r="D100" s="8">
        <v>6122.88</v>
      </c>
      <c r="E100" s="9">
        <v>4.4008150903406699E-2</v>
      </c>
      <c r="F100" s="10" t="s">
        <v>17</v>
      </c>
      <c r="G100" s="10" t="s">
        <v>17</v>
      </c>
    </row>
    <row r="101" spans="1:7" ht="15.75" x14ac:dyDescent="0.25">
      <c r="A101" s="6" t="s">
        <v>117</v>
      </c>
      <c r="B101" s="7" t="s">
        <v>242</v>
      </c>
      <c r="C101" s="8">
        <v>132710.07999999999</v>
      </c>
      <c r="D101" s="8">
        <v>48020.12</v>
      </c>
      <c r="E101" s="9">
        <v>0.36184229562667702</v>
      </c>
      <c r="F101" s="10" t="s">
        <v>17</v>
      </c>
      <c r="G101" s="10" t="s">
        <v>17</v>
      </c>
    </row>
    <row r="102" spans="1:7" ht="15.75" x14ac:dyDescent="0.25">
      <c r="A102" s="6" t="s">
        <v>118</v>
      </c>
      <c r="B102" s="7" t="s">
        <v>246</v>
      </c>
      <c r="C102" s="8">
        <v>130598.52</v>
      </c>
      <c r="D102" s="8">
        <v>10925.61</v>
      </c>
      <c r="E102" s="9">
        <v>8.3657992448919E-2</v>
      </c>
      <c r="F102" s="10" t="s">
        <v>17</v>
      </c>
      <c r="G102" s="10" t="s">
        <v>17</v>
      </c>
    </row>
    <row r="103" spans="1:7" ht="15.75" x14ac:dyDescent="0.25">
      <c r="A103" s="6" t="s">
        <v>119</v>
      </c>
      <c r="B103" s="7" t="s">
        <v>306</v>
      </c>
      <c r="C103" s="8">
        <v>124958.39999999999</v>
      </c>
      <c r="D103" s="8">
        <v>12868.18</v>
      </c>
      <c r="E103" s="9">
        <v>0.102979711648036</v>
      </c>
      <c r="F103" s="10" t="s">
        <v>17</v>
      </c>
      <c r="G103" s="10" t="s">
        <v>17</v>
      </c>
    </row>
    <row r="104" spans="1:7" ht="15.75" x14ac:dyDescent="0.25">
      <c r="A104" s="6" t="s">
        <v>120</v>
      </c>
      <c r="B104" s="7" t="s">
        <v>245</v>
      </c>
      <c r="C104" s="8">
        <v>124558.17</v>
      </c>
      <c r="D104" s="8">
        <v>8259.73</v>
      </c>
      <c r="E104" s="9">
        <v>6.6312229860152894E-2</v>
      </c>
      <c r="F104" s="10" t="s">
        <v>17</v>
      </c>
      <c r="G104" s="10" t="s">
        <v>17</v>
      </c>
    </row>
    <row r="105" spans="1:7" ht="15.75" x14ac:dyDescent="0.25">
      <c r="A105" s="6" t="s">
        <v>121</v>
      </c>
      <c r="B105" s="7" t="s">
        <v>247</v>
      </c>
      <c r="C105" s="8">
        <v>123407.02</v>
      </c>
      <c r="D105" s="8">
        <v>20311.169999999998</v>
      </c>
      <c r="E105" s="9">
        <v>0.16458682820474901</v>
      </c>
      <c r="F105" s="10" t="s">
        <v>17</v>
      </c>
      <c r="G105" s="10" t="s">
        <v>17</v>
      </c>
    </row>
    <row r="106" spans="1:7" ht="15.75" x14ac:dyDescent="0.25">
      <c r="A106" s="6" t="s">
        <v>122</v>
      </c>
      <c r="B106" s="7" t="s">
        <v>248</v>
      </c>
      <c r="C106" s="8">
        <v>109267.02</v>
      </c>
      <c r="D106" s="8">
        <v>10871.13</v>
      </c>
      <c r="E106" s="9">
        <v>9.9491411040586605E-2</v>
      </c>
      <c r="F106" s="10" t="s">
        <v>17</v>
      </c>
      <c r="G106" s="10" t="s">
        <v>17</v>
      </c>
    </row>
    <row r="107" spans="1:7" ht="15.75" x14ac:dyDescent="0.25">
      <c r="A107" s="6" t="s">
        <v>123</v>
      </c>
      <c r="B107" s="7" t="s">
        <v>295</v>
      </c>
      <c r="C107" s="8">
        <v>109174.47</v>
      </c>
      <c r="D107" s="8">
        <v>9586.65</v>
      </c>
      <c r="E107" s="9">
        <v>8.7810364456085796E-2</v>
      </c>
      <c r="F107" s="10" t="s">
        <v>17</v>
      </c>
      <c r="G107" s="10" t="s">
        <v>17</v>
      </c>
    </row>
    <row r="108" spans="1:7" ht="15.75" x14ac:dyDescent="0.25">
      <c r="A108" s="6" t="s">
        <v>124</v>
      </c>
      <c r="B108" s="7" t="s">
        <v>249</v>
      </c>
      <c r="C108" s="8">
        <v>100025.42</v>
      </c>
      <c r="D108" s="8">
        <v>16775.45</v>
      </c>
      <c r="E108" s="9">
        <v>0.167711867643245</v>
      </c>
      <c r="F108" s="10" t="s">
        <v>17</v>
      </c>
      <c r="G108" s="10" t="s">
        <v>17</v>
      </c>
    </row>
    <row r="109" spans="1:7" ht="15.75" x14ac:dyDescent="0.25">
      <c r="A109" s="6" t="s">
        <v>125</v>
      </c>
      <c r="B109" s="7" t="s">
        <v>309</v>
      </c>
      <c r="C109" s="8">
        <v>94081.01</v>
      </c>
      <c r="D109" s="8">
        <v>19193.3</v>
      </c>
      <c r="E109" s="9">
        <v>0.20400822652733</v>
      </c>
      <c r="F109" s="10" t="s">
        <v>17</v>
      </c>
      <c r="G109" s="10" t="s">
        <v>17</v>
      </c>
    </row>
    <row r="110" spans="1:7" ht="15.75" x14ac:dyDescent="0.25">
      <c r="A110" s="6" t="s">
        <v>126</v>
      </c>
      <c r="B110" s="7" t="s">
        <v>317</v>
      </c>
      <c r="C110" s="8">
        <v>86973.43</v>
      </c>
      <c r="D110" s="8">
        <v>596.53</v>
      </c>
      <c r="E110" s="9">
        <v>6.8587613481496598E-3</v>
      </c>
      <c r="F110" s="10" t="s">
        <v>17</v>
      </c>
      <c r="G110" s="10" t="s">
        <v>17</v>
      </c>
    </row>
    <row r="111" spans="1:7" ht="15.75" x14ac:dyDescent="0.25">
      <c r="A111" s="6" t="s">
        <v>127</v>
      </c>
      <c r="B111" s="7" t="s">
        <v>253</v>
      </c>
      <c r="C111" s="8">
        <v>81796.98</v>
      </c>
      <c r="D111" s="8">
        <v>5971.3</v>
      </c>
      <c r="E111" s="9">
        <v>7.3001472670506898E-2</v>
      </c>
      <c r="F111" s="10" t="s">
        <v>17</v>
      </c>
      <c r="G111" s="10" t="s">
        <v>17</v>
      </c>
    </row>
    <row r="112" spans="1:7" ht="15.75" x14ac:dyDescent="0.25">
      <c r="A112" s="6" t="s">
        <v>128</v>
      </c>
      <c r="B112" s="7" t="s">
        <v>230</v>
      </c>
      <c r="C112" s="8">
        <v>72163.16</v>
      </c>
      <c r="D112" s="8">
        <v>8472.31</v>
      </c>
      <c r="E112" s="9">
        <v>0.117404919629351</v>
      </c>
      <c r="F112" s="10" t="s">
        <v>17</v>
      </c>
      <c r="G112" s="10" t="s">
        <v>17</v>
      </c>
    </row>
    <row r="113" spans="1:7" ht="15.75" x14ac:dyDescent="0.25">
      <c r="A113" s="6" t="s">
        <v>129</v>
      </c>
      <c r="B113" s="7" t="s">
        <v>333</v>
      </c>
      <c r="C113" s="8">
        <v>71016.17</v>
      </c>
      <c r="D113" s="8">
        <v>51931.29</v>
      </c>
      <c r="E113" s="9">
        <v>0.73126007781044799</v>
      </c>
      <c r="F113" s="10" t="s">
        <v>17</v>
      </c>
      <c r="G113" s="10" t="s">
        <v>17</v>
      </c>
    </row>
    <row r="114" spans="1:7" ht="15.75" x14ac:dyDescent="0.25">
      <c r="A114" s="6" t="s">
        <v>130</v>
      </c>
      <c r="B114" s="7" t="s">
        <v>321</v>
      </c>
      <c r="C114" s="8">
        <v>70330.47</v>
      </c>
      <c r="D114" s="8">
        <v>34346.6</v>
      </c>
      <c r="E114" s="9">
        <v>0.48836016594230103</v>
      </c>
      <c r="F114" s="10" t="s">
        <v>17</v>
      </c>
      <c r="G114" s="10" t="s">
        <v>17</v>
      </c>
    </row>
    <row r="115" spans="1:7" ht="15.75" x14ac:dyDescent="0.25">
      <c r="A115" s="6" t="s">
        <v>131</v>
      </c>
      <c r="B115" s="7" t="s">
        <v>255</v>
      </c>
      <c r="C115" s="8">
        <v>69464.320000000007</v>
      </c>
      <c r="D115" s="8">
        <v>464.3</v>
      </c>
      <c r="E115" s="9">
        <v>6.6840069837291998E-3</v>
      </c>
      <c r="F115" s="10" t="s">
        <v>17</v>
      </c>
      <c r="G115" s="10" t="s">
        <v>17</v>
      </c>
    </row>
    <row r="116" spans="1:7" ht="15.75" x14ac:dyDescent="0.25">
      <c r="A116" s="6" t="s">
        <v>132</v>
      </c>
      <c r="B116" s="7" t="s">
        <v>256</v>
      </c>
      <c r="C116" s="8">
        <v>69364.45</v>
      </c>
      <c r="D116" s="8">
        <v>3880.25</v>
      </c>
      <c r="E116" s="9">
        <v>5.5940038449090297E-2</v>
      </c>
      <c r="F116" s="10" t="s">
        <v>17</v>
      </c>
      <c r="G116" s="10" t="s">
        <v>17</v>
      </c>
    </row>
    <row r="117" spans="1:7" ht="15.75" x14ac:dyDescent="0.25">
      <c r="A117" s="6" t="s">
        <v>133</v>
      </c>
      <c r="B117" s="7" t="s">
        <v>258</v>
      </c>
      <c r="C117" s="8">
        <v>64350.49</v>
      </c>
      <c r="D117" s="8">
        <v>1437.29</v>
      </c>
      <c r="E117" s="9">
        <v>2.2335338860667599E-2</v>
      </c>
      <c r="F117" s="10" t="s">
        <v>17</v>
      </c>
      <c r="G117" s="10" t="s">
        <v>17</v>
      </c>
    </row>
    <row r="118" spans="1:7" ht="15.75" x14ac:dyDescent="0.25">
      <c r="A118" s="6" t="s">
        <v>134</v>
      </c>
      <c r="B118" s="7" t="s">
        <v>257</v>
      </c>
      <c r="C118" s="8">
        <v>54769.2</v>
      </c>
      <c r="D118" s="8">
        <v>1553.67</v>
      </c>
      <c r="E118" s="9">
        <v>2.83675861615653E-2</v>
      </c>
      <c r="F118" s="10" t="s">
        <v>17</v>
      </c>
      <c r="G118" s="10" t="s">
        <v>17</v>
      </c>
    </row>
    <row r="119" spans="1:7" ht="15.75" x14ac:dyDescent="0.25">
      <c r="A119" s="6" t="s">
        <v>135</v>
      </c>
      <c r="B119" s="7" t="s">
        <v>259</v>
      </c>
      <c r="C119" s="8">
        <v>52705.8</v>
      </c>
      <c r="D119" s="8">
        <v>3552.29</v>
      </c>
      <c r="E119" s="9">
        <v>6.7398464685101106E-2</v>
      </c>
      <c r="F119" s="10" t="s">
        <v>17</v>
      </c>
      <c r="G119" s="10" t="s">
        <v>17</v>
      </c>
    </row>
    <row r="120" spans="1:7" ht="15.75" x14ac:dyDescent="0.25">
      <c r="A120" s="6" t="s">
        <v>136</v>
      </c>
      <c r="B120" s="7" t="s">
        <v>291</v>
      </c>
      <c r="C120" s="8">
        <v>48386.02</v>
      </c>
      <c r="D120" s="8">
        <v>11299.55</v>
      </c>
      <c r="E120" s="9">
        <v>0.233529230137135</v>
      </c>
      <c r="F120" s="10" t="s">
        <v>17</v>
      </c>
      <c r="G120" s="10" t="s">
        <v>17</v>
      </c>
    </row>
    <row r="121" spans="1:7" ht="15.75" x14ac:dyDescent="0.25">
      <c r="A121" s="6" t="s">
        <v>137</v>
      </c>
      <c r="B121" s="7" t="s">
        <v>262</v>
      </c>
      <c r="C121" s="8">
        <v>48259.72</v>
      </c>
      <c r="D121" s="8">
        <v>8853.67</v>
      </c>
      <c r="E121" s="9">
        <v>0.18345879337882601</v>
      </c>
      <c r="F121" s="10" t="s">
        <v>17</v>
      </c>
      <c r="G121" s="10" t="s">
        <v>17</v>
      </c>
    </row>
    <row r="122" spans="1:7" ht="15.75" x14ac:dyDescent="0.25">
      <c r="A122" s="6" t="s">
        <v>138</v>
      </c>
      <c r="B122" s="7" t="s">
        <v>283</v>
      </c>
      <c r="C122" s="8">
        <v>40247.550000000003</v>
      </c>
      <c r="D122" s="8">
        <v>509.96</v>
      </c>
      <c r="E122" s="9">
        <v>1.26705849175913E-2</v>
      </c>
      <c r="F122" s="10" t="s">
        <v>17</v>
      </c>
      <c r="G122" s="10" t="s">
        <v>17</v>
      </c>
    </row>
    <row r="123" spans="1:7" ht="15.75" x14ac:dyDescent="0.25">
      <c r="A123" s="6" t="s">
        <v>139</v>
      </c>
      <c r="B123" s="7" t="s">
        <v>260</v>
      </c>
      <c r="C123" s="8">
        <v>40022.959999999999</v>
      </c>
      <c r="D123" s="8">
        <v>345.25</v>
      </c>
      <c r="E123" s="9">
        <v>8.62629850465833E-3</v>
      </c>
      <c r="F123" s="10" t="s">
        <v>17</v>
      </c>
      <c r="G123" s="10" t="s">
        <v>17</v>
      </c>
    </row>
    <row r="124" spans="1:7" ht="15.75" x14ac:dyDescent="0.25">
      <c r="A124" s="6" t="s">
        <v>140</v>
      </c>
      <c r="B124" s="7" t="s">
        <v>310</v>
      </c>
      <c r="C124" s="8">
        <v>39431.39</v>
      </c>
      <c r="D124" s="8">
        <v>6194.32</v>
      </c>
      <c r="E124" s="9">
        <v>0.15709108910439101</v>
      </c>
      <c r="F124" s="10" t="s">
        <v>17</v>
      </c>
      <c r="G124" s="10" t="s">
        <v>17</v>
      </c>
    </row>
    <row r="125" spans="1:7" ht="15.75" x14ac:dyDescent="0.25">
      <c r="A125" s="6" t="s">
        <v>141</v>
      </c>
      <c r="B125" s="7" t="s">
        <v>263</v>
      </c>
      <c r="C125" s="8">
        <v>36730.910000000003</v>
      </c>
      <c r="D125" s="8">
        <v>990.23</v>
      </c>
      <c r="E125" s="9">
        <v>2.69590380418019E-2</v>
      </c>
      <c r="F125" s="10" t="s">
        <v>17</v>
      </c>
      <c r="G125" s="10" t="s">
        <v>17</v>
      </c>
    </row>
    <row r="126" spans="1:7" ht="15.75" x14ac:dyDescent="0.25">
      <c r="A126" s="6" t="s">
        <v>142</v>
      </c>
      <c r="B126" s="7" t="s">
        <v>251</v>
      </c>
      <c r="C126" s="8">
        <v>36163.81</v>
      </c>
      <c r="D126" s="8">
        <v>1935.64</v>
      </c>
      <c r="E126" s="9">
        <v>5.352422767402E-2</v>
      </c>
      <c r="F126" s="10" t="s">
        <v>17</v>
      </c>
      <c r="G126" s="10" t="s">
        <v>17</v>
      </c>
    </row>
    <row r="127" spans="1:7" ht="15.75" x14ac:dyDescent="0.25">
      <c r="A127" s="6" t="s">
        <v>143</v>
      </c>
      <c r="B127" s="7" t="s">
        <v>266</v>
      </c>
      <c r="C127" s="8">
        <v>33356.050000000003</v>
      </c>
      <c r="D127" s="8">
        <v>12397.77</v>
      </c>
      <c r="E127" s="9">
        <v>0.37167980021615299</v>
      </c>
      <c r="F127" s="10" t="s">
        <v>17</v>
      </c>
      <c r="G127" s="10" t="s">
        <v>17</v>
      </c>
    </row>
    <row r="128" spans="1:7" ht="15.75" x14ac:dyDescent="0.25">
      <c r="A128" s="6" t="s">
        <v>144</v>
      </c>
      <c r="B128" s="7" t="s">
        <v>311</v>
      </c>
      <c r="C128" s="8">
        <v>32441.39</v>
      </c>
      <c r="D128" s="8">
        <v>152.47999999999999</v>
      </c>
      <c r="E128" s="9">
        <v>4.7001685192897104E-3</v>
      </c>
      <c r="F128" s="10" t="s">
        <v>17</v>
      </c>
      <c r="G128" s="10" t="s">
        <v>17</v>
      </c>
    </row>
    <row r="129" spans="1:7" ht="15.75" x14ac:dyDescent="0.25">
      <c r="A129" s="6" t="s">
        <v>145</v>
      </c>
      <c r="B129" s="7" t="s">
        <v>265</v>
      </c>
      <c r="C129" s="8">
        <v>30815.73</v>
      </c>
      <c r="D129" s="8">
        <v>5839.28</v>
      </c>
      <c r="E129" s="9">
        <v>0.189490237615659</v>
      </c>
      <c r="F129" s="10" t="s">
        <v>17</v>
      </c>
      <c r="G129" s="10" t="s">
        <v>17</v>
      </c>
    </row>
    <row r="130" spans="1:7" ht="15.75" x14ac:dyDescent="0.25">
      <c r="A130" s="6" t="s">
        <v>146</v>
      </c>
      <c r="B130" s="7" t="s">
        <v>264</v>
      </c>
      <c r="C130" s="8">
        <v>30198.34</v>
      </c>
      <c r="D130" s="8">
        <v>2289.81</v>
      </c>
      <c r="E130" s="9">
        <v>7.5825691081032903E-2</v>
      </c>
      <c r="F130" s="10" t="s">
        <v>17</v>
      </c>
      <c r="G130" s="10" t="s">
        <v>17</v>
      </c>
    </row>
    <row r="131" spans="1:7" ht="15.75" x14ac:dyDescent="0.25">
      <c r="A131" s="6" t="s">
        <v>147</v>
      </c>
      <c r="B131" s="7" t="s">
        <v>267</v>
      </c>
      <c r="C131" s="8">
        <v>17120.080000000002</v>
      </c>
      <c r="D131" s="8">
        <v>1233.5999999999999</v>
      </c>
      <c r="E131" s="9">
        <v>7.2055738057298799E-2</v>
      </c>
      <c r="F131" s="10" t="s">
        <v>17</v>
      </c>
      <c r="G131" s="10" t="s">
        <v>17</v>
      </c>
    </row>
    <row r="132" spans="1:7" ht="15.75" x14ac:dyDescent="0.25">
      <c r="A132" s="6" t="s">
        <v>148</v>
      </c>
      <c r="B132" s="7" t="s">
        <v>268</v>
      </c>
      <c r="C132" s="8">
        <v>16430.75</v>
      </c>
      <c r="D132" s="8">
        <v>870.29</v>
      </c>
      <c r="E132" s="9">
        <v>5.2967150008368498E-2</v>
      </c>
      <c r="F132" s="10" t="s">
        <v>17</v>
      </c>
      <c r="G132" s="10" t="s">
        <v>17</v>
      </c>
    </row>
    <row r="133" spans="1:7" ht="15.75" x14ac:dyDescent="0.25">
      <c r="A133" s="6" t="s">
        <v>149</v>
      </c>
      <c r="B133" s="7" t="s">
        <v>270</v>
      </c>
      <c r="C133" s="8">
        <v>14472.89</v>
      </c>
      <c r="D133" s="8">
        <v>137.25</v>
      </c>
      <c r="E133" s="9">
        <v>9.4832476443889192E-3</v>
      </c>
      <c r="F133" s="10" t="s">
        <v>17</v>
      </c>
      <c r="G133" s="10" t="s">
        <v>17</v>
      </c>
    </row>
    <row r="134" spans="1:7" ht="15.75" x14ac:dyDescent="0.25">
      <c r="A134" s="6" t="s">
        <v>150</v>
      </c>
      <c r="B134" s="7" t="s">
        <v>269</v>
      </c>
      <c r="C134" s="8">
        <v>13864.03</v>
      </c>
      <c r="D134" s="8">
        <v>-1855.17</v>
      </c>
      <c r="E134" s="9">
        <v>-0.13381174160759901</v>
      </c>
      <c r="F134" s="10" t="s">
        <v>17</v>
      </c>
      <c r="G134" s="10" t="s">
        <v>17</v>
      </c>
    </row>
    <row r="135" spans="1:7" ht="15.75" x14ac:dyDescent="0.25">
      <c r="A135" s="6" t="s">
        <v>151</v>
      </c>
      <c r="B135" s="7" t="s">
        <v>277</v>
      </c>
      <c r="C135" s="8">
        <v>12987.73</v>
      </c>
      <c r="D135" s="8">
        <v>3345.19</v>
      </c>
      <c r="E135" s="9">
        <v>0.257565409813724</v>
      </c>
      <c r="F135" s="10" t="s">
        <v>17</v>
      </c>
      <c r="G135" s="10" t="s">
        <v>17</v>
      </c>
    </row>
    <row r="136" spans="1:7" ht="15.75" x14ac:dyDescent="0.25">
      <c r="A136" s="6" t="s">
        <v>152</v>
      </c>
      <c r="B136" s="7" t="s">
        <v>286</v>
      </c>
      <c r="C136" s="8">
        <v>7419.97</v>
      </c>
      <c r="D136" s="8">
        <v>81.739999999999995</v>
      </c>
      <c r="E136" s="9">
        <v>1.10162170466997E-2</v>
      </c>
      <c r="F136" s="10" t="s">
        <v>17</v>
      </c>
      <c r="G136" s="10" t="s">
        <v>17</v>
      </c>
    </row>
    <row r="137" spans="1:7" ht="15.75" x14ac:dyDescent="0.25">
      <c r="A137" s="6" t="s">
        <v>153</v>
      </c>
      <c r="B137" s="7" t="s">
        <v>322</v>
      </c>
      <c r="C137" s="8">
        <v>3669.37</v>
      </c>
      <c r="D137" s="8">
        <v>37.25</v>
      </c>
      <c r="E137" s="9">
        <v>1.0151606406549401E-2</v>
      </c>
      <c r="F137" s="10" t="s">
        <v>17</v>
      </c>
      <c r="G137" s="10" t="s">
        <v>17</v>
      </c>
    </row>
    <row r="138" spans="1:7" ht="15.75" x14ac:dyDescent="0.25">
      <c r="A138" s="6" t="s">
        <v>154</v>
      </c>
      <c r="B138" s="7" t="s">
        <v>312</v>
      </c>
      <c r="C138" s="8">
        <v>2428.92</v>
      </c>
      <c r="D138" s="8">
        <v>55.2</v>
      </c>
      <c r="E138" s="9">
        <v>2.2726149893779999E-2</v>
      </c>
      <c r="F138" s="10" t="s">
        <v>17</v>
      </c>
      <c r="G138" s="10" t="s">
        <v>17</v>
      </c>
    </row>
    <row r="139" spans="1:7" ht="15.75" x14ac:dyDescent="0.25">
      <c r="A139" s="6" t="s">
        <v>155</v>
      </c>
      <c r="B139" s="7" t="s">
        <v>313</v>
      </c>
      <c r="C139" s="8">
        <v>1902.71</v>
      </c>
      <c r="D139" s="8">
        <v>343.65</v>
      </c>
      <c r="E139" s="9">
        <v>0.18061081299830201</v>
      </c>
      <c r="F139" s="10" t="s">
        <v>17</v>
      </c>
      <c r="G139" s="10" t="s">
        <v>17</v>
      </c>
    </row>
    <row r="140" spans="1:7" ht="15.75" x14ac:dyDescent="0.25">
      <c r="A140" s="6" t="s">
        <v>156</v>
      </c>
      <c r="B140" s="7" t="s">
        <v>323</v>
      </c>
      <c r="C140" s="8">
        <v>1000.03</v>
      </c>
      <c r="D140" s="8">
        <v>1000.03</v>
      </c>
      <c r="E140" s="9">
        <v>1</v>
      </c>
      <c r="F140" s="10" t="s">
        <v>17</v>
      </c>
      <c r="G140" s="10" t="s">
        <v>17</v>
      </c>
    </row>
    <row r="141" spans="1:7" ht="15.75" x14ac:dyDescent="0.25">
      <c r="A141" s="6" t="s">
        <v>328</v>
      </c>
      <c r="B141" s="7" t="s">
        <v>324</v>
      </c>
      <c r="C141" s="8">
        <v>472.2</v>
      </c>
      <c r="D141" s="8">
        <v>81.819999999999993</v>
      </c>
      <c r="E141" s="9">
        <v>0.173274036425244</v>
      </c>
      <c r="F141" s="10" t="s">
        <v>17</v>
      </c>
      <c r="G141" s="10" t="s">
        <v>17</v>
      </c>
    </row>
    <row r="142" spans="1:7" ht="15.75" x14ac:dyDescent="0.25">
      <c r="A142" s="6" t="s">
        <v>330</v>
      </c>
      <c r="B142" s="7" t="s">
        <v>318</v>
      </c>
      <c r="C142" s="8">
        <v>299.95</v>
      </c>
      <c r="D142" s="8">
        <v>299.95</v>
      </c>
      <c r="E142" s="9">
        <v>1</v>
      </c>
      <c r="F142" s="10" t="s">
        <v>17</v>
      </c>
      <c r="G142" s="10" t="s">
        <v>17</v>
      </c>
    </row>
    <row r="143" spans="1:7" ht="15.75" x14ac:dyDescent="0.25">
      <c r="A143" s="6" t="s">
        <v>332</v>
      </c>
      <c r="B143" s="7" t="s">
        <v>319</v>
      </c>
      <c r="C143" s="8">
        <v>0</v>
      </c>
      <c r="D143" s="8">
        <v>0</v>
      </c>
      <c r="E143" s="9">
        <v>0</v>
      </c>
      <c r="F143" s="10" t="s">
        <v>17</v>
      </c>
      <c r="G143" s="10" t="s">
        <v>17</v>
      </c>
    </row>
    <row r="144" spans="1:7" ht="15.75" x14ac:dyDescent="0.25">
      <c r="C144" s="8"/>
      <c r="D144" s="8"/>
      <c r="E144" s="9"/>
    </row>
    <row r="145" spans="1:7" ht="15.75" x14ac:dyDescent="0.25">
      <c r="C145" s="8"/>
      <c r="D145" s="8"/>
      <c r="E145" s="9"/>
    </row>
    <row r="146" spans="1:7" ht="15.75" x14ac:dyDescent="0.25">
      <c r="C146" s="8"/>
      <c r="D146" s="8"/>
      <c r="E146" s="9"/>
    </row>
    <row r="147" spans="1:7" ht="15.75" x14ac:dyDescent="0.25">
      <c r="C147" s="8"/>
      <c r="D147" s="8" t="s">
        <v>298</v>
      </c>
      <c r="E147" s="9"/>
    </row>
    <row r="148" spans="1:7" ht="31.5" x14ac:dyDescent="0.25">
      <c r="A148" s="18"/>
      <c r="B148" s="19" t="s">
        <v>157</v>
      </c>
      <c r="C148" s="3" t="s">
        <v>158</v>
      </c>
      <c r="D148" s="3" t="s">
        <v>159</v>
      </c>
      <c r="E148" s="4" t="s">
        <v>160</v>
      </c>
      <c r="F148" s="5" t="s">
        <v>161</v>
      </c>
      <c r="G148" s="5" t="s">
        <v>162</v>
      </c>
    </row>
    <row r="149" spans="1:7" ht="15.75" x14ac:dyDescent="0.25">
      <c r="A149" s="6" t="s">
        <v>18</v>
      </c>
      <c r="B149" s="7" t="s">
        <v>315</v>
      </c>
      <c r="C149" s="8">
        <v>3000403.65</v>
      </c>
      <c r="D149" s="8">
        <v>3000403.65</v>
      </c>
      <c r="E149" s="9">
        <v>1</v>
      </c>
      <c r="F149" s="10" t="s">
        <v>17</v>
      </c>
      <c r="G149" s="10" t="s">
        <v>17</v>
      </c>
    </row>
    <row r="150" spans="1:7" ht="15.75" x14ac:dyDescent="0.25">
      <c r="A150" s="6" t="s">
        <v>19</v>
      </c>
      <c r="B150" s="7" t="s">
        <v>183</v>
      </c>
      <c r="C150" s="8">
        <v>1259198.1599999999</v>
      </c>
      <c r="D150" s="8">
        <v>203307.38</v>
      </c>
      <c r="E150" s="9">
        <v>0.16145781216834099</v>
      </c>
      <c r="F150" s="10" t="s">
        <v>17</v>
      </c>
      <c r="G150" s="10" t="s">
        <v>17</v>
      </c>
    </row>
    <row r="151" spans="1:7" ht="15.75" x14ac:dyDescent="0.25">
      <c r="A151" s="6" t="s">
        <v>20</v>
      </c>
      <c r="B151" s="7" t="s">
        <v>165</v>
      </c>
      <c r="C151" s="8">
        <v>1126889.96</v>
      </c>
      <c r="D151" s="8">
        <v>1117505.5</v>
      </c>
      <c r="E151" s="9">
        <v>0.99167224810486398</v>
      </c>
      <c r="F151" s="10" t="s">
        <v>17</v>
      </c>
      <c r="G151" s="10" t="s">
        <v>17</v>
      </c>
    </row>
    <row r="152" spans="1:7" ht="15.75" x14ac:dyDescent="0.25">
      <c r="A152" s="6" t="s">
        <v>21</v>
      </c>
      <c r="B152" s="7" t="s">
        <v>244</v>
      </c>
      <c r="C152" s="8">
        <v>922470.25</v>
      </c>
      <c r="D152" s="8">
        <v>751.16</v>
      </c>
      <c r="E152" s="9">
        <v>8.1429184301607597E-4</v>
      </c>
      <c r="F152" s="10" t="s">
        <v>17</v>
      </c>
      <c r="G152" s="10" t="s">
        <v>17</v>
      </c>
    </row>
    <row r="153" spans="1:7" ht="15.75" x14ac:dyDescent="0.25">
      <c r="A153" s="6" t="s">
        <v>22</v>
      </c>
      <c r="B153" s="7" t="s">
        <v>278</v>
      </c>
      <c r="C153" s="8">
        <v>685732.53</v>
      </c>
      <c r="D153" s="8">
        <v>292172.44</v>
      </c>
      <c r="E153" s="9">
        <v>0.42607347211601598</v>
      </c>
      <c r="F153" s="10" t="s">
        <v>17</v>
      </c>
      <c r="G153" s="10" t="s">
        <v>17</v>
      </c>
    </row>
    <row r="154" spans="1:7" ht="15.75" x14ac:dyDescent="0.25">
      <c r="A154" s="6" t="s">
        <v>23</v>
      </c>
      <c r="B154" s="7" t="s">
        <v>325</v>
      </c>
      <c r="C154" s="8">
        <v>589926.85</v>
      </c>
      <c r="D154" s="8">
        <v>589926.85</v>
      </c>
      <c r="E154" s="9">
        <v>1</v>
      </c>
      <c r="F154" s="10" t="s">
        <v>17</v>
      </c>
      <c r="G154" s="10" t="s">
        <v>17</v>
      </c>
    </row>
    <row r="155" spans="1:7" ht="15.75" x14ac:dyDescent="0.25">
      <c r="A155" s="6" t="s">
        <v>24</v>
      </c>
      <c r="B155" s="7" t="s">
        <v>182</v>
      </c>
      <c r="C155" s="8">
        <v>516677.38</v>
      </c>
      <c r="D155" s="8">
        <v>516677.38</v>
      </c>
      <c r="E155" s="9">
        <v>1</v>
      </c>
      <c r="F155" s="10" t="s">
        <v>17</v>
      </c>
      <c r="G155" s="10" t="s">
        <v>17</v>
      </c>
    </row>
    <row r="156" spans="1:7" ht="15.75" x14ac:dyDescent="0.25">
      <c r="A156" s="6" t="s">
        <v>25</v>
      </c>
      <c r="B156" s="7" t="s">
        <v>189</v>
      </c>
      <c r="C156" s="8">
        <v>298546.8</v>
      </c>
      <c r="D156" s="8">
        <v>298546.8</v>
      </c>
      <c r="E156" s="9">
        <v>1</v>
      </c>
      <c r="F156" s="10" t="s">
        <v>17</v>
      </c>
      <c r="G156" s="10" t="s">
        <v>17</v>
      </c>
    </row>
    <row r="157" spans="1:7" ht="15.75" x14ac:dyDescent="0.25">
      <c r="A157" s="6" t="s">
        <v>26</v>
      </c>
      <c r="B157" s="7" t="s">
        <v>173</v>
      </c>
      <c r="C157" s="8">
        <v>207040.34</v>
      </c>
      <c r="D157" s="8">
        <v>28542.28</v>
      </c>
      <c r="E157" s="9">
        <v>0.13785854486135399</v>
      </c>
      <c r="F157" s="10" t="s">
        <v>17</v>
      </c>
      <c r="G157" s="10" t="s">
        <v>17</v>
      </c>
    </row>
    <row r="158" spans="1:7" ht="15.75" x14ac:dyDescent="0.25">
      <c r="A158" s="6" t="s">
        <v>27</v>
      </c>
      <c r="B158" s="7" t="s">
        <v>205</v>
      </c>
      <c r="C158" s="8">
        <v>203966.34</v>
      </c>
      <c r="D158" s="8">
        <v>23302.01</v>
      </c>
      <c r="E158" s="9">
        <v>0.11424438953996</v>
      </c>
      <c r="F158" s="10" t="s">
        <v>17</v>
      </c>
      <c r="G158" s="10" t="s">
        <v>17</v>
      </c>
    </row>
    <row r="159" spans="1:7" ht="15.75" x14ac:dyDescent="0.25">
      <c r="A159" s="6" t="s">
        <v>28</v>
      </c>
      <c r="B159" s="7" t="s">
        <v>186</v>
      </c>
      <c r="C159" s="8">
        <v>202259.31</v>
      </c>
      <c r="D159" s="8">
        <v>202259.31</v>
      </c>
      <c r="E159" s="9">
        <v>1</v>
      </c>
      <c r="F159" s="10" t="s">
        <v>17</v>
      </c>
      <c r="G159" s="10" t="s">
        <v>17</v>
      </c>
    </row>
    <row r="160" spans="1:7" ht="15.75" x14ac:dyDescent="0.25">
      <c r="A160" s="6" t="s">
        <v>29</v>
      </c>
      <c r="B160" s="7" t="s">
        <v>280</v>
      </c>
      <c r="C160" s="8">
        <v>185926.44</v>
      </c>
      <c r="D160" s="8">
        <v>887.74</v>
      </c>
      <c r="E160" s="9">
        <v>4.7746840094394297E-3</v>
      </c>
      <c r="F160" s="10" t="s">
        <v>17</v>
      </c>
      <c r="G160" s="10" t="s">
        <v>17</v>
      </c>
    </row>
    <row r="161" spans="1:7" ht="15.75" x14ac:dyDescent="0.25">
      <c r="A161" s="6" t="s">
        <v>30</v>
      </c>
      <c r="B161" s="7" t="s">
        <v>195</v>
      </c>
      <c r="C161" s="8">
        <v>168980.2</v>
      </c>
      <c r="D161" s="8">
        <v>70930.44</v>
      </c>
      <c r="E161" s="9">
        <v>0.41975592406684298</v>
      </c>
      <c r="F161" s="10" t="s">
        <v>17</v>
      </c>
      <c r="G161" s="10" t="s">
        <v>17</v>
      </c>
    </row>
    <row r="162" spans="1:7" ht="15.75" x14ac:dyDescent="0.25">
      <c r="A162" s="6" t="s">
        <v>31</v>
      </c>
      <c r="B162" s="7" t="s">
        <v>180</v>
      </c>
      <c r="C162" s="8">
        <v>157984.88</v>
      </c>
      <c r="D162" s="8">
        <v>1362.26</v>
      </c>
      <c r="E162" s="9">
        <v>8.62272389610955E-3</v>
      </c>
      <c r="F162" s="10" t="s">
        <v>17</v>
      </c>
      <c r="G162" s="10" t="s">
        <v>17</v>
      </c>
    </row>
    <row r="163" spans="1:7" ht="15.75" x14ac:dyDescent="0.25">
      <c r="A163" s="6" t="s">
        <v>32</v>
      </c>
      <c r="B163" s="7" t="s">
        <v>163</v>
      </c>
      <c r="C163" s="8">
        <v>151436.26999999999</v>
      </c>
      <c r="D163" s="8">
        <v>50.14</v>
      </c>
      <c r="E163" s="9">
        <v>3.3109637473242002E-4</v>
      </c>
      <c r="F163" s="10" t="s">
        <v>17</v>
      </c>
      <c r="G163" s="10" t="s">
        <v>17</v>
      </c>
    </row>
    <row r="164" spans="1:7" ht="15.75" x14ac:dyDescent="0.25">
      <c r="A164" s="6" t="s">
        <v>33</v>
      </c>
      <c r="B164" s="7" t="s">
        <v>211</v>
      </c>
      <c r="C164" s="8">
        <v>144122.19</v>
      </c>
      <c r="D164" s="8">
        <v>12369.58</v>
      </c>
      <c r="E164" s="9">
        <v>8.5827033297232E-2</v>
      </c>
      <c r="F164" s="10" t="s">
        <v>17</v>
      </c>
      <c r="G164" s="10" t="s">
        <v>17</v>
      </c>
    </row>
    <row r="165" spans="1:7" ht="15.75" x14ac:dyDescent="0.25">
      <c r="A165" s="6" t="s">
        <v>34</v>
      </c>
      <c r="B165" s="7" t="s">
        <v>254</v>
      </c>
      <c r="C165" s="8">
        <v>136183.19</v>
      </c>
      <c r="D165" s="8">
        <v>16541.189999999999</v>
      </c>
      <c r="E165" s="9">
        <v>0.121462788468973</v>
      </c>
      <c r="F165" s="10" t="s">
        <v>17</v>
      </c>
      <c r="G165" s="10" t="s">
        <v>17</v>
      </c>
    </row>
    <row r="166" spans="1:7" ht="15.75" x14ac:dyDescent="0.25">
      <c r="A166" s="6" t="s">
        <v>35</v>
      </c>
      <c r="B166" s="7" t="s">
        <v>279</v>
      </c>
      <c r="C166" s="8">
        <v>132912.01999999999</v>
      </c>
      <c r="D166" s="8">
        <v>132912.01999999999</v>
      </c>
      <c r="E166" s="9">
        <v>1</v>
      </c>
      <c r="F166" s="10" t="s">
        <v>17</v>
      </c>
      <c r="G166" s="10" t="s">
        <v>17</v>
      </c>
    </row>
    <row r="167" spans="1:7" ht="15.75" x14ac:dyDescent="0.25">
      <c r="A167" s="6" t="s">
        <v>36</v>
      </c>
      <c r="B167" s="7" t="s">
        <v>187</v>
      </c>
      <c r="C167" s="8">
        <v>131170.5</v>
      </c>
      <c r="D167" s="8">
        <v>131170.5</v>
      </c>
      <c r="E167" s="9">
        <v>1</v>
      </c>
      <c r="F167" s="10" t="s">
        <v>17</v>
      </c>
      <c r="G167" s="10" t="s">
        <v>17</v>
      </c>
    </row>
    <row r="168" spans="1:7" ht="15.75" x14ac:dyDescent="0.25">
      <c r="A168" s="6" t="s">
        <v>37</v>
      </c>
      <c r="B168" s="7" t="s">
        <v>303</v>
      </c>
      <c r="C168" s="8">
        <v>125009.84</v>
      </c>
      <c r="D168" s="8">
        <v>125009.84</v>
      </c>
      <c r="E168" s="9">
        <v>1</v>
      </c>
      <c r="F168" s="10" t="s">
        <v>17</v>
      </c>
      <c r="G168" s="10" t="s">
        <v>17</v>
      </c>
    </row>
    <row r="169" spans="1:7" ht="15.75" x14ac:dyDescent="0.25">
      <c r="A169" s="6" t="s">
        <v>38</v>
      </c>
      <c r="B169" s="7" t="s">
        <v>215</v>
      </c>
      <c r="C169" s="8">
        <v>123382.09</v>
      </c>
      <c r="D169" s="8">
        <v>1514.67</v>
      </c>
      <c r="E169" s="9">
        <v>1.2276255005892699E-2</v>
      </c>
      <c r="F169" s="10" t="s">
        <v>17</v>
      </c>
      <c r="G169" s="10" t="s">
        <v>17</v>
      </c>
    </row>
    <row r="170" spans="1:7" ht="15.75" x14ac:dyDescent="0.25">
      <c r="A170" s="6" t="s">
        <v>39</v>
      </c>
      <c r="B170" s="7" t="s">
        <v>224</v>
      </c>
      <c r="C170" s="8">
        <v>101402.96</v>
      </c>
      <c r="D170" s="8">
        <v>101402.96</v>
      </c>
      <c r="E170" s="9">
        <v>1</v>
      </c>
      <c r="F170" s="10" t="s">
        <v>17</v>
      </c>
      <c r="G170" s="10" t="s">
        <v>17</v>
      </c>
    </row>
    <row r="171" spans="1:7" ht="15.75" x14ac:dyDescent="0.25">
      <c r="A171" s="6" t="s">
        <v>40</v>
      </c>
      <c r="B171" s="7" t="s">
        <v>308</v>
      </c>
      <c r="C171" s="8">
        <v>98180.658100000001</v>
      </c>
      <c r="D171" s="8">
        <v>2017.21</v>
      </c>
      <c r="E171" s="9">
        <v>2.05459001705347E-2</v>
      </c>
      <c r="F171" s="10" t="s">
        <v>17</v>
      </c>
      <c r="G171" s="10" t="s">
        <v>17</v>
      </c>
    </row>
    <row r="172" spans="1:7" ht="15.75" x14ac:dyDescent="0.25">
      <c r="A172" s="6" t="s">
        <v>41</v>
      </c>
      <c r="B172" s="7" t="s">
        <v>294</v>
      </c>
      <c r="C172" s="8">
        <v>82698.350000000006</v>
      </c>
      <c r="D172" s="8">
        <v>39448.129999999997</v>
      </c>
      <c r="E172" s="9">
        <v>0.47701229831066799</v>
      </c>
      <c r="F172" s="10" t="s">
        <v>17</v>
      </c>
      <c r="G172" s="10" t="s">
        <v>17</v>
      </c>
    </row>
    <row r="173" spans="1:7" ht="15.75" x14ac:dyDescent="0.25">
      <c r="A173" s="6" t="s">
        <v>42</v>
      </c>
      <c r="B173" s="7" t="s">
        <v>184</v>
      </c>
      <c r="C173" s="8">
        <v>80133.7</v>
      </c>
      <c r="D173" s="8">
        <v>80133.7</v>
      </c>
      <c r="E173" s="9">
        <v>1</v>
      </c>
      <c r="F173" s="10" t="s">
        <v>17</v>
      </c>
      <c r="G173" s="10" t="s">
        <v>17</v>
      </c>
    </row>
    <row r="174" spans="1:7" ht="15.75" x14ac:dyDescent="0.25">
      <c r="A174" s="6" t="s">
        <v>43</v>
      </c>
      <c r="B174" s="7" t="s">
        <v>280</v>
      </c>
      <c r="C174" s="8">
        <v>72998.789999999994</v>
      </c>
      <c r="D174" s="8">
        <v>2204.81</v>
      </c>
      <c r="E174" s="9">
        <v>3.0203377343651899E-2</v>
      </c>
      <c r="F174" s="10" t="s">
        <v>17</v>
      </c>
      <c r="G174" s="10" t="s">
        <v>17</v>
      </c>
    </row>
    <row r="175" spans="1:7" ht="15.75" x14ac:dyDescent="0.25">
      <c r="A175" s="6" t="s">
        <v>44</v>
      </c>
      <c r="B175" s="7" t="s">
        <v>284</v>
      </c>
      <c r="C175" s="8">
        <v>56507.11</v>
      </c>
      <c r="D175" s="8">
        <v>11230.42</v>
      </c>
      <c r="E175" s="9">
        <v>0.198743485554296</v>
      </c>
      <c r="F175" s="10" t="s">
        <v>17</v>
      </c>
      <c r="G175" s="10" t="s">
        <v>17</v>
      </c>
    </row>
    <row r="176" spans="1:7" ht="15.75" x14ac:dyDescent="0.25">
      <c r="A176" s="6" t="s">
        <v>45</v>
      </c>
      <c r="B176" s="7" t="s">
        <v>175</v>
      </c>
      <c r="C176" s="8">
        <v>52843.67</v>
      </c>
      <c r="D176" s="8">
        <v>52843.67</v>
      </c>
      <c r="E176" s="9">
        <v>1</v>
      </c>
      <c r="F176" s="10" t="s">
        <v>17</v>
      </c>
      <c r="G176" s="10" t="s">
        <v>17</v>
      </c>
    </row>
    <row r="177" spans="1:7" ht="15.75" x14ac:dyDescent="0.25">
      <c r="A177" s="6" t="s">
        <v>46</v>
      </c>
      <c r="B177" s="7" t="s">
        <v>227</v>
      </c>
      <c r="C177" s="8">
        <v>50060.62</v>
      </c>
      <c r="D177" s="8">
        <v>50060.62</v>
      </c>
      <c r="E177" s="9">
        <v>1</v>
      </c>
      <c r="F177" s="10" t="s">
        <v>17</v>
      </c>
      <c r="G177" s="10" t="s">
        <v>17</v>
      </c>
    </row>
    <row r="178" spans="1:7" ht="15.75" x14ac:dyDescent="0.25">
      <c r="A178" s="6" t="s">
        <v>47</v>
      </c>
      <c r="B178" s="7" t="s">
        <v>248</v>
      </c>
      <c r="C178" s="8">
        <v>37315.65</v>
      </c>
      <c r="D178" s="8">
        <v>37315.65</v>
      </c>
      <c r="E178" s="9">
        <v>1</v>
      </c>
      <c r="F178" s="10" t="s">
        <v>17</v>
      </c>
      <c r="G178" s="10" t="s">
        <v>17</v>
      </c>
    </row>
    <row r="179" spans="1:7" ht="15.75" x14ac:dyDescent="0.25">
      <c r="A179" s="6" t="s">
        <v>48</v>
      </c>
      <c r="B179" s="7" t="s">
        <v>261</v>
      </c>
      <c r="C179" s="8">
        <v>35192.370000000003</v>
      </c>
      <c r="D179" s="8">
        <v>9833.89</v>
      </c>
      <c r="E179" s="9">
        <v>0.27943244515785698</v>
      </c>
      <c r="F179" s="10" t="s">
        <v>17</v>
      </c>
      <c r="G179" s="10" t="s">
        <v>17</v>
      </c>
    </row>
    <row r="180" spans="1:7" ht="15.75" x14ac:dyDescent="0.25">
      <c r="A180" s="6" t="s">
        <v>49</v>
      </c>
      <c r="B180" s="7" t="s">
        <v>190</v>
      </c>
      <c r="C180" s="8">
        <v>33619.07</v>
      </c>
      <c r="D180" s="8">
        <v>33619.07</v>
      </c>
      <c r="E180" s="9">
        <v>1</v>
      </c>
      <c r="F180" s="10" t="s">
        <v>17</v>
      </c>
      <c r="G180" s="10" t="s">
        <v>17</v>
      </c>
    </row>
    <row r="181" spans="1:7" ht="15.75" x14ac:dyDescent="0.25">
      <c r="A181" s="6" t="s">
        <v>50</v>
      </c>
      <c r="B181" s="7" t="s">
        <v>285</v>
      </c>
      <c r="C181" s="8">
        <v>19927.82</v>
      </c>
      <c r="D181" s="8">
        <v>3289.87</v>
      </c>
      <c r="E181" s="9">
        <v>0.16508930731008201</v>
      </c>
      <c r="F181" s="10" t="s">
        <v>17</v>
      </c>
      <c r="G181" s="10" t="s">
        <v>17</v>
      </c>
    </row>
    <row r="182" spans="1:7" ht="15.75" x14ac:dyDescent="0.25">
      <c r="A182" s="6" t="s">
        <v>51</v>
      </c>
      <c r="B182" s="7" t="s">
        <v>220</v>
      </c>
      <c r="C182" s="8">
        <v>19672.810000000001</v>
      </c>
      <c r="D182" s="8">
        <v>19672.810000000001</v>
      </c>
      <c r="E182" s="9">
        <v>1</v>
      </c>
      <c r="F182" s="10" t="s">
        <v>17</v>
      </c>
      <c r="G182" s="10" t="s">
        <v>17</v>
      </c>
    </row>
    <row r="183" spans="1:7" ht="15.75" x14ac:dyDescent="0.25">
      <c r="A183" s="6" t="s">
        <v>52</v>
      </c>
      <c r="B183" s="7" t="s">
        <v>287</v>
      </c>
      <c r="C183" s="8">
        <v>11379.6</v>
      </c>
      <c r="D183" s="8">
        <v>485.43</v>
      </c>
      <c r="E183" s="9">
        <v>4.2657914162185E-2</v>
      </c>
      <c r="F183" s="10" t="s">
        <v>17</v>
      </c>
      <c r="G183" s="10" t="s">
        <v>17</v>
      </c>
    </row>
    <row r="184" spans="1:7" ht="15.75" x14ac:dyDescent="0.25">
      <c r="A184" s="6" t="s">
        <v>53</v>
      </c>
      <c r="B184" s="7" t="s">
        <v>238</v>
      </c>
      <c r="C184" s="8">
        <v>6147.8</v>
      </c>
      <c r="D184" s="8">
        <v>66.16</v>
      </c>
      <c r="E184" s="9">
        <v>1.0761573245713901E-2</v>
      </c>
      <c r="F184" s="10" t="s">
        <v>17</v>
      </c>
      <c r="G184" s="10" t="s">
        <v>17</v>
      </c>
    </row>
    <row r="185" spans="1:7" ht="15.75" x14ac:dyDescent="0.25">
      <c r="A185" s="6" t="s">
        <v>54</v>
      </c>
      <c r="B185" s="7" t="s">
        <v>261</v>
      </c>
      <c r="C185" s="8">
        <v>5505.81</v>
      </c>
      <c r="D185" s="8">
        <v>5505.81</v>
      </c>
      <c r="E185" s="9">
        <v>1</v>
      </c>
      <c r="F185" s="10" t="s">
        <v>17</v>
      </c>
      <c r="G185" s="10" t="s">
        <v>17</v>
      </c>
    </row>
    <row r="186" spans="1:7" ht="15.75" x14ac:dyDescent="0.25">
      <c r="A186" s="6" t="s">
        <v>55</v>
      </c>
      <c r="B186" s="7" t="s">
        <v>288</v>
      </c>
      <c r="C186" s="8">
        <v>4907.83</v>
      </c>
      <c r="D186" s="8">
        <v>948.18</v>
      </c>
      <c r="E186" s="9">
        <v>0.193197400887969</v>
      </c>
      <c r="F186" s="10" t="s">
        <v>17</v>
      </c>
      <c r="G186" s="10" t="s">
        <v>17</v>
      </c>
    </row>
    <row r="187" spans="1:7" ht="15.75" x14ac:dyDescent="0.25">
      <c r="A187" s="6" t="s">
        <v>56</v>
      </c>
      <c r="B187" s="7" t="s">
        <v>320</v>
      </c>
      <c r="C187" s="8">
        <v>2496.71</v>
      </c>
      <c r="D187" s="8">
        <v>2496.71</v>
      </c>
      <c r="E187" s="9">
        <v>1</v>
      </c>
      <c r="F187" s="10" t="s">
        <v>17</v>
      </c>
      <c r="G187" s="10" t="s">
        <v>17</v>
      </c>
    </row>
    <row r="188" spans="1:7" ht="15.75" x14ac:dyDescent="0.25">
      <c r="A188" s="6" t="s">
        <v>57</v>
      </c>
      <c r="B188" s="7" t="s">
        <v>305</v>
      </c>
      <c r="C188" s="8">
        <v>1758.53</v>
      </c>
      <c r="D188" s="8">
        <v>1758.53</v>
      </c>
      <c r="E188" s="9">
        <v>1</v>
      </c>
      <c r="F188" s="10" t="s">
        <v>17</v>
      </c>
      <c r="G188" s="10" t="s">
        <v>17</v>
      </c>
    </row>
    <row r="189" spans="1:7" ht="15.75" x14ac:dyDescent="0.25">
      <c r="A189" s="6" t="s">
        <v>58</v>
      </c>
      <c r="B189" s="7" t="s">
        <v>202</v>
      </c>
      <c r="C189" s="8">
        <v>1580.21</v>
      </c>
      <c r="D189" s="8">
        <v>19.43</v>
      </c>
      <c r="E189" s="9">
        <v>1.22958340979996E-2</v>
      </c>
      <c r="F189" s="10" t="s">
        <v>17</v>
      </c>
      <c r="G189" s="10" t="s">
        <v>17</v>
      </c>
    </row>
    <row r="190" spans="1:7" ht="15.75" x14ac:dyDescent="0.25">
      <c r="A190" s="6" t="s">
        <v>59</v>
      </c>
      <c r="B190" s="7" t="s">
        <v>289</v>
      </c>
      <c r="C190" s="8">
        <v>1248.51</v>
      </c>
      <c r="D190" s="8">
        <v>54.98</v>
      </c>
      <c r="E190" s="9">
        <v>4.4036491497865503E-2</v>
      </c>
      <c r="F190" s="10" t="s">
        <v>17</v>
      </c>
      <c r="G190" s="10" t="s">
        <v>17</v>
      </c>
    </row>
    <row r="191" spans="1:7" ht="15.75" x14ac:dyDescent="0.25">
      <c r="A191" s="6" t="s">
        <v>60</v>
      </c>
      <c r="B191" s="7" t="s">
        <v>327</v>
      </c>
      <c r="C191" s="8">
        <v>1150.43</v>
      </c>
      <c r="D191" s="8">
        <v>1150.43</v>
      </c>
      <c r="E191" s="9">
        <v>1</v>
      </c>
      <c r="F191" s="10" t="s">
        <v>17</v>
      </c>
      <c r="G191" s="10" t="s">
        <v>17</v>
      </c>
    </row>
    <row r="192" spans="1:7" ht="15.75" x14ac:dyDescent="0.25">
      <c r="A192" s="6" t="s">
        <v>61</v>
      </c>
      <c r="B192" s="7" t="s">
        <v>314</v>
      </c>
      <c r="C192" s="8">
        <v>1000.43</v>
      </c>
      <c r="D192" s="8">
        <v>1000.43</v>
      </c>
      <c r="E192" s="9">
        <v>1</v>
      </c>
      <c r="F192" s="10" t="s">
        <v>17</v>
      </c>
      <c r="G192" s="10" t="s">
        <v>17</v>
      </c>
    </row>
    <row r="193" spans="1:7" ht="15.75" x14ac:dyDescent="0.25">
      <c r="A193" s="6" t="s">
        <v>62</v>
      </c>
      <c r="B193" s="7" t="s">
        <v>210</v>
      </c>
      <c r="C193" s="8">
        <v>986.72</v>
      </c>
      <c r="D193" s="8">
        <v>0</v>
      </c>
      <c r="E193" s="9">
        <v>0</v>
      </c>
      <c r="F193" s="10" t="s">
        <v>17</v>
      </c>
      <c r="G193" s="10" t="s">
        <v>17</v>
      </c>
    </row>
    <row r="194" spans="1:7" ht="15.75" x14ac:dyDescent="0.25">
      <c r="A194" s="6" t="s">
        <v>63</v>
      </c>
      <c r="B194" s="7" t="s">
        <v>295</v>
      </c>
      <c r="C194" s="8">
        <v>901.88</v>
      </c>
      <c r="D194" s="8">
        <v>901.88</v>
      </c>
      <c r="E194" s="9">
        <v>1</v>
      </c>
      <c r="F194" s="10" t="s">
        <v>17</v>
      </c>
      <c r="G194" s="10" t="s">
        <v>17</v>
      </c>
    </row>
    <row r="195" spans="1:7" ht="15.75" x14ac:dyDescent="0.25">
      <c r="A195" s="6" t="s">
        <v>64</v>
      </c>
      <c r="B195" s="7" t="s">
        <v>290</v>
      </c>
      <c r="C195" s="8">
        <v>620.77</v>
      </c>
      <c r="D195" s="8">
        <v>89.51</v>
      </c>
      <c r="E195" s="9">
        <v>0.14419189071636801</v>
      </c>
      <c r="F195" s="10" t="s">
        <v>17</v>
      </c>
      <c r="G195" s="10" t="s">
        <v>17</v>
      </c>
    </row>
    <row r="196" spans="1:7" ht="15.75" x14ac:dyDescent="0.25">
      <c r="A196" s="6" t="s">
        <v>65</v>
      </c>
      <c r="B196" s="7" t="s">
        <v>204</v>
      </c>
      <c r="C196" s="8">
        <v>21.6</v>
      </c>
      <c r="D196" s="8">
        <v>21.6</v>
      </c>
      <c r="E196" s="9">
        <v>1</v>
      </c>
      <c r="F196" s="10" t="s">
        <v>17</v>
      </c>
      <c r="G196" s="10" t="s">
        <v>17</v>
      </c>
    </row>
    <row r="197" spans="1:7" ht="15.75" x14ac:dyDescent="0.25">
      <c r="A197" s="6" t="s">
        <v>66</v>
      </c>
      <c r="B197" s="7" t="s">
        <v>271</v>
      </c>
      <c r="C197" s="8">
        <v>20.07</v>
      </c>
      <c r="D197" s="8">
        <v>20.07</v>
      </c>
      <c r="E197" s="9">
        <v>1</v>
      </c>
      <c r="F197" s="10" t="s">
        <v>17</v>
      </c>
      <c r="G197" s="10" t="s">
        <v>17</v>
      </c>
    </row>
    <row r="198" spans="1:7" ht="15.75" x14ac:dyDescent="0.25">
      <c r="A198" s="6" t="s">
        <v>67</v>
      </c>
      <c r="B198" s="7" t="s">
        <v>297</v>
      </c>
      <c r="C198" s="8">
        <v>6.87</v>
      </c>
      <c r="D198" s="8">
        <v>6.87</v>
      </c>
      <c r="E198" s="9">
        <v>1</v>
      </c>
      <c r="F198" s="10" t="s">
        <v>17</v>
      </c>
      <c r="G198" s="10" t="s">
        <v>17</v>
      </c>
    </row>
    <row r="199" spans="1:7" ht="15.75" x14ac:dyDescent="0.25">
      <c r="A199" s="6" t="s">
        <v>68</v>
      </c>
      <c r="B199" s="7" t="s">
        <v>296</v>
      </c>
      <c r="C199" s="8">
        <v>3.17</v>
      </c>
      <c r="D199" s="8">
        <v>3.17</v>
      </c>
      <c r="E199" s="9">
        <v>1</v>
      </c>
      <c r="F199" s="10" t="s">
        <v>17</v>
      </c>
      <c r="G199" s="10" t="s">
        <v>17</v>
      </c>
    </row>
    <row r="200" spans="1:7" ht="15.75" x14ac:dyDescent="0.25">
      <c r="A200" s="6" t="s">
        <v>69</v>
      </c>
      <c r="B200" s="7" t="s">
        <v>281</v>
      </c>
      <c r="C200" s="8">
        <v>0.33</v>
      </c>
      <c r="D200" s="8">
        <v>0.33</v>
      </c>
      <c r="E200" s="9">
        <v>1</v>
      </c>
      <c r="F200" s="10" t="s">
        <v>17</v>
      </c>
      <c r="G200" s="10" t="s">
        <v>17</v>
      </c>
    </row>
    <row r="201" spans="1:7" ht="15.75" x14ac:dyDescent="0.25">
      <c r="A201" s="6" t="s">
        <v>70</v>
      </c>
      <c r="B201" s="7" t="s">
        <v>221</v>
      </c>
      <c r="C201" s="8">
        <v>0.06</v>
      </c>
      <c r="D201" s="8">
        <v>0.06</v>
      </c>
      <c r="E201" s="9">
        <v>1</v>
      </c>
      <c r="F201" s="10" t="s">
        <v>17</v>
      </c>
      <c r="G201" s="10" t="s">
        <v>17</v>
      </c>
    </row>
    <row r="202" spans="1:7" ht="15.75" x14ac:dyDescent="0.25">
      <c r="A202" s="6" t="s">
        <v>71</v>
      </c>
      <c r="B202" s="7" t="s">
        <v>164</v>
      </c>
      <c r="C202" s="8">
        <v>0.03</v>
      </c>
      <c r="D202" s="8">
        <v>0.03</v>
      </c>
      <c r="E202" s="9">
        <v>1</v>
      </c>
      <c r="F202" s="10" t="s">
        <v>17</v>
      </c>
      <c r="G202" s="10" t="s">
        <v>17</v>
      </c>
    </row>
    <row r="203" spans="1:7" ht="15.75" x14ac:dyDescent="0.25">
      <c r="A203" s="6" t="s">
        <v>72</v>
      </c>
      <c r="B203" s="7" t="s">
        <v>230</v>
      </c>
      <c r="C203" s="8">
        <v>0.01</v>
      </c>
      <c r="D203" s="8">
        <v>0.01</v>
      </c>
      <c r="E203" s="9">
        <v>1</v>
      </c>
      <c r="F203" s="10" t="s">
        <v>17</v>
      </c>
      <c r="G203" s="10" t="s">
        <v>17</v>
      </c>
    </row>
    <row r="204" spans="1:7" ht="15.75" x14ac:dyDescent="0.25">
      <c r="A204" s="6" t="s">
        <v>73</v>
      </c>
      <c r="B204" s="7" t="s">
        <v>208</v>
      </c>
      <c r="C204" s="8">
        <v>0.01</v>
      </c>
      <c r="D204" s="8">
        <v>0.01</v>
      </c>
      <c r="E204" s="9">
        <v>1</v>
      </c>
      <c r="F204" s="10" t="s">
        <v>17</v>
      </c>
      <c r="G204" s="10" t="s">
        <v>17</v>
      </c>
    </row>
    <row r="205" spans="1:7" ht="15.75" x14ac:dyDescent="0.25">
      <c r="A205" s="6" t="s">
        <v>74</v>
      </c>
      <c r="B205" s="7" t="s">
        <v>286</v>
      </c>
      <c r="C205" s="8">
        <v>0</v>
      </c>
      <c r="D205" s="8">
        <v>0</v>
      </c>
      <c r="E205" s="9">
        <v>0</v>
      </c>
      <c r="F205" s="10" t="s">
        <v>17</v>
      </c>
      <c r="G205" s="10" t="s">
        <v>17</v>
      </c>
    </row>
    <row r="206" spans="1:7" ht="15.75" x14ac:dyDescent="0.25">
      <c r="A206" s="6" t="s">
        <v>75</v>
      </c>
      <c r="B206" s="7" t="s">
        <v>219</v>
      </c>
      <c r="C206" s="8">
        <v>0</v>
      </c>
      <c r="D206" s="8">
        <v>0</v>
      </c>
      <c r="E206" s="9">
        <v>0</v>
      </c>
      <c r="F206" s="10" t="s">
        <v>17</v>
      </c>
      <c r="G206" s="10" t="s">
        <v>17</v>
      </c>
    </row>
    <row r="207" spans="1:7" ht="15.75" x14ac:dyDescent="0.25">
      <c r="A207" s="6" t="s">
        <v>76</v>
      </c>
      <c r="B207" s="7" t="s">
        <v>262</v>
      </c>
      <c r="C207" s="8">
        <v>0</v>
      </c>
      <c r="D207" s="8">
        <v>0</v>
      </c>
      <c r="E207" s="9">
        <v>0</v>
      </c>
      <c r="F207" s="10" t="s">
        <v>17</v>
      </c>
      <c r="G207" s="10" t="s">
        <v>17</v>
      </c>
    </row>
    <row r="208" spans="1:7" ht="15.75" x14ac:dyDescent="0.25">
      <c r="A208" s="6" t="s">
        <v>77</v>
      </c>
      <c r="B208" s="7" t="s">
        <v>282</v>
      </c>
      <c r="C208" s="8">
        <v>0</v>
      </c>
      <c r="D208" s="8">
        <v>0</v>
      </c>
      <c r="E208" s="9">
        <v>0</v>
      </c>
      <c r="F208" s="10" t="s">
        <v>17</v>
      </c>
      <c r="G208" s="10" t="s">
        <v>17</v>
      </c>
    </row>
    <row r="209" spans="1:7" ht="15.75" x14ac:dyDescent="0.25">
      <c r="A209" s="6" t="s">
        <v>78</v>
      </c>
      <c r="B209" s="7" t="s">
        <v>229</v>
      </c>
      <c r="C209" s="8">
        <v>0</v>
      </c>
      <c r="D209" s="8">
        <v>0</v>
      </c>
      <c r="E209" s="9">
        <v>0</v>
      </c>
      <c r="F209" s="10" t="s">
        <v>17</v>
      </c>
      <c r="G209" s="10" t="s">
        <v>17</v>
      </c>
    </row>
    <row r="210" spans="1:7" ht="15.75" x14ac:dyDescent="0.25">
      <c r="C210" s="8"/>
      <c r="D210" s="8"/>
      <c r="E210" s="9"/>
    </row>
    <row r="211" spans="1:7" ht="15.75" x14ac:dyDescent="0.25"/>
    <row r="214" spans="1:7" ht="15.75" x14ac:dyDescent="0.25"/>
    <row r="215" spans="1:7" ht="15.75" x14ac:dyDescent="0.25">
      <c r="B215" s="20" t="s">
        <v>273</v>
      </c>
      <c r="C215" s="21">
        <f>SUM(C2:C147)</f>
        <v>92471977.911099985</v>
      </c>
      <c r="D215" s="21">
        <f>SUM(D2:D147)</f>
        <v>26926844.890000004</v>
      </c>
      <c r="E215" s="22">
        <f>(D215 / C215)</f>
        <v>0.29118923914320005</v>
      </c>
    </row>
    <row r="219" spans="1:7" ht="15.75" x14ac:dyDescent="0.25">
      <c r="B219" s="20" t="s">
        <v>272</v>
      </c>
      <c r="C219" s="21">
        <f>SUM(C148:C213)</f>
        <v>11250510.148099996</v>
      </c>
      <c r="D219" s="21">
        <f>SUM(D148:D213)</f>
        <v>7223745.5799999963</v>
      </c>
      <c r="E219" s="22">
        <f>(D219 / C219)</f>
        <v>0.64208160207028064</v>
      </c>
    </row>
    <row r="223" spans="1:7" ht="15.75" x14ac:dyDescent="0.25">
      <c r="B223" s="20" t="s">
        <v>274</v>
      </c>
      <c r="C223" s="21">
        <f>SUM(C2:C219) / 2</f>
        <v>103722488.05919997</v>
      </c>
      <c r="D223" s="21">
        <f>SUM(D2:D219) / 2</f>
        <v>34150590.470000014</v>
      </c>
      <c r="E223" s="22">
        <f>(D223 / C223)</f>
        <v>0.32924962666252705</v>
      </c>
    </row>
  </sheetData>
  <pageMargins left="0.7" right="0.7" top="0.75" bottom="0.75" header="0.3" footer="0.3"/>
  <pageSetup orientation="landscape" r:id="rId1"/>
  <headerFooter>
    <oddHeader>&amp;R&amp;B&amp;12As of &amp;D&amp;C&amp;B&amp;12Sunset West Daily Cash Percentage Report</oddHeader>
    <oddFooter>&amp;C&amp;B&amp;12&amp;P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49B3B-45C0-4C71-A4A0-778C3E3E88C0}">
  <sheetPr codeName="Sheet1"/>
  <dimension ref="A1:G223"/>
  <sheetViews>
    <sheetView topLeftCell="A129" workbookViewId="0">
      <selection activeCell="B148" sqref="B148:H647"/>
    </sheetView>
  </sheetViews>
  <sheetFormatPr defaultRowHeight="15.75" x14ac:dyDescent="0.25"/>
  <cols>
    <col min="1" max="1" width="5" style="10" bestFit="1" customWidth="1"/>
    <col min="2" max="2" width="26.28515625" style="7" customWidth="1"/>
    <col min="3" max="3" width="15.140625" style="10" customWidth="1"/>
    <col min="4" max="4" width="14" style="10" customWidth="1"/>
    <col min="5" max="5" width="9.140625" style="10" customWidth="1"/>
    <col min="6" max="6" width="9.7109375" style="10" customWidth="1"/>
    <col min="7" max="7" width="10.42578125" style="10" customWidth="1"/>
    <col min="8" max="16384" width="9.140625" style="1"/>
  </cols>
  <sheetData>
    <row r="1" spans="1:7" ht="31.5" x14ac:dyDescent="0.25">
      <c r="A1" s="18"/>
      <c r="B1" s="2" t="s">
        <v>157</v>
      </c>
      <c r="C1" s="3" t="s">
        <v>158</v>
      </c>
      <c r="D1" s="3" t="s">
        <v>159</v>
      </c>
      <c r="E1" s="4" t="s">
        <v>160</v>
      </c>
      <c r="F1" s="5" t="s">
        <v>161</v>
      </c>
      <c r="G1" s="5" t="s">
        <v>162</v>
      </c>
    </row>
    <row r="2" spans="1:7" x14ac:dyDescent="0.25">
      <c r="A2" s="6" t="s">
        <v>18</v>
      </c>
      <c r="B2" s="7" t="s">
        <v>163</v>
      </c>
      <c r="C2" s="8">
        <v>5021458.8099999996</v>
      </c>
      <c r="D2" s="8">
        <v>1072102.26</v>
      </c>
      <c r="E2" s="9">
        <v>0.213504143032092</v>
      </c>
      <c r="F2" s="10" t="s">
        <v>0</v>
      </c>
      <c r="G2" s="11">
        <f>(D2 / F2)</f>
        <v>79.414982222222221</v>
      </c>
    </row>
    <row r="3" spans="1:7" x14ac:dyDescent="0.25">
      <c r="A3" s="6" t="s">
        <v>19</v>
      </c>
      <c r="B3" s="7" t="s">
        <v>297</v>
      </c>
      <c r="C3" s="8">
        <v>4921341.49</v>
      </c>
      <c r="D3" s="8">
        <v>4208324.7300000004</v>
      </c>
      <c r="E3" s="9">
        <v>0.855117398081636</v>
      </c>
      <c r="F3" s="10" t="s">
        <v>17</v>
      </c>
      <c r="G3" s="10" t="s">
        <v>17</v>
      </c>
    </row>
    <row r="4" spans="1:7" x14ac:dyDescent="0.25">
      <c r="A4" s="6" t="s">
        <v>20</v>
      </c>
      <c r="B4" s="7" t="s">
        <v>168</v>
      </c>
      <c r="C4" s="8">
        <v>4284344.8</v>
      </c>
      <c r="D4" s="8">
        <v>1206145.96</v>
      </c>
      <c r="E4" s="9">
        <v>0.28152401739467797</v>
      </c>
      <c r="F4" s="10" t="s">
        <v>17</v>
      </c>
      <c r="G4" s="10" t="s">
        <v>17</v>
      </c>
    </row>
    <row r="5" spans="1:7" x14ac:dyDescent="0.25">
      <c r="A5" s="6" t="s">
        <v>21</v>
      </c>
      <c r="B5" s="7" t="s">
        <v>165</v>
      </c>
      <c r="C5" s="8">
        <v>3307166.2544</v>
      </c>
      <c r="D5" s="8">
        <v>724671.94</v>
      </c>
      <c r="E5" s="9">
        <v>0.21912171456027199</v>
      </c>
      <c r="F5" s="10" t="s">
        <v>17</v>
      </c>
      <c r="G5" s="10" t="s">
        <v>17</v>
      </c>
    </row>
    <row r="6" spans="1:7" x14ac:dyDescent="0.25">
      <c r="A6" s="6" t="s">
        <v>22</v>
      </c>
      <c r="B6" s="7" t="s">
        <v>166</v>
      </c>
      <c r="C6" s="8">
        <v>2951303.08</v>
      </c>
      <c r="D6" s="8">
        <v>547351.24</v>
      </c>
      <c r="E6" s="9">
        <v>0.185460871067163</v>
      </c>
      <c r="F6" s="10" t="s">
        <v>17</v>
      </c>
      <c r="G6" s="10" t="s">
        <v>17</v>
      </c>
    </row>
    <row r="7" spans="1:7" x14ac:dyDescent="0.25">
      <c r="A7" s="6" t="s">
        <v>23</v>
      </c>
      <c r="B7" s="7" t="s">
        <v>164</v>
      </c>
      <c r="C7" s="8">
        <v>2904597.45</v>
      </c>
      <c r="D7" s="8">
        <v>537265.53</v>
      </c>
      <c r="E7" s="9">
        <v>0.184970736650616</v>
      </c>
      <c r="F7" s="10" t="s">
        <v>1</v>
      </c>
      <c r="G7" s="11">
        <f>(D7 / F7)</f>
        <v>58.208616468039004</v>
      </c>
    </row>
    <row r="8" spans="1:7" x14ac:dyDescent="0.25">
      <c r="A8" s="6" t="s">
        <v>24</v>
      </c>
      <c r="B8" s="7" t="s">
        <v>167</v>
      </c>
      <c r="C8" s="8">
        <v>2562062.2000000002</v>
      </c>
      <c r="D8" s="8">
        <v>1116393.56</v>
      </c>
      <c r="E8" s="9">
        <v>0.43574022519827998</v>
      </c>
      <c r="F8" s="10" t="s">
        <v>2</v>
      </c>
      <c r="G8" s="11">
        <f>(D8 / F8)</f>
        <v>434.73269470404989</v>
      </c>
    </row>
    <row r="9" spans="1:7" x14ac:dyDescent="0.25">
      <c r="A9" s="6" t="s">
        <v>25</v>
      </c>
      <c r="B9" s="7" t="s">
        <v>169</v>
      </c>
      <c r="C9" s="8">
        <v>2260412.73</v>
      </c>
      <c r="D9" s="8">
        <v>402766.96</v>
      </c>
      <c r="E9" s="9">
        <v>0.17818292856632401</v>
      </c>
      <c r="F9" s="10" t="s">
        <v>293</v>
      </c>
      <c r="G9" s="11">
        <f>(D9 / F9)</f>
        <v>42.396522105263159</v>
      </c>
    </row>
    <row r="10" spans="1:7" x14ac:dyDescent="0.25">
      <c r="A10" s="6" t="s">
        <v>26</v>
      </c>
      <c r="B10" s="7" t="s">
        <v>170</v>
      </c>
      <c r="C10" s="8">
        <v>2088442.11</v>
      </c>
      <c r="D10" s="8">
        <v>311263.37</v>
      </c>
      <c r="E10" s="9">
        <v>0.14904093750532499</v>
      </c>
      <c r="F10" s="10" t="s">
        <v>3</v>
      </c>
      <c r="G10" s="11">
        <f>(D10 / F10)</f>
        <v>38.907921250000001</v>
      </c>
    </row>
    <row r="11" spans="1:7" x14ac:dyDescent="0.25">
      <c r="A11" s="6" t="s">
        <v>27</v>
      </c>
      <c r="B11" s="7" t="s">
        <v>171</v>
      </c>
      <c r="C11" s="8">
        <v>1987654.85</v>
      </c>
      <c r="D11" s="8">
        <v>312334.34000000003</v>
      </c>
      <c r="E11" s="9">
        <v>0.15713711060046501</v>
      </c>
      <c r="F11" s="10" t="s">
        <v>17</v>
      </c>
      <c r="G11" s="10" t="s">
        <v>17</v>
      </c>
    </row>
    <row r="12" spans="1:7" x14ac:dyDescent="0.25">
      <c r="A12" s="6" t="s">
        <v>28</v>
      </c>
      <c r="B12" s="7" t="s">
        <v>316</v>
      </c>
      <c r="C12" s="8">
        <v>1959254.9212</v>
      </c>
      <c r="D12" s="8">
        <v>991186.21</v>
      </c>
      <c r="E12" s="9">
        <v>0.50589956379587397</v>
      </c>
      <c r="F12" s="10" t="s">
        <v>17</v>
      </c>
      <c r="G12" s="10" t="s">
        <v>17</v>
      </c>
    </row>
    <row r="13" spans="1:7" x14ac:dyDescent="0.25">
      <c r="A13" s="6" t="s">
        <v>29</v>
      </c>
      <c r="B13" s="7" t="s">
        <v>172</v>
      </c>
      <c r="C13" s="8">
        <v>1907043.38</v>
      </c>
      <c r="D13" s="8">
        <v>442825.01</v>
      </c>
      <c r="E13" s="9">
        <v>0.232205001021005</v>
      </c>
      <c r="F13" s="10" t="s">
        <v>17</v>
      </c>
      <c r="G13" s="10" t="s">
        <v>17</v>
      </c>
    </row>
    <row r="14" spans="1:7" x14ac:dyDescent="0.25">
      <c r="A14" s="6" t="s">
        <v>30</v>
      </c>
      <c r="B14" s="7" t="s">
        <v>173</v>
      </c>
      <c r="C14" s="8">
        <v>1811580.81</v>
      </c>
      <c r="D14" s="8">
        <v>327702.09999999998</v>
      </c>
      <c r="E14" s="9">
        <v>0.18089289651947699</v>
      </c>
      <c r="F14" s="10" t="s">
        <v>4</v>
      </c>
      <c r="G14" s="11">
        <f>(D14 / F14)</f>
        <v>54.617016666666665</v>
      </c>
    </row>
    <row r="15" spans="1:7" x14ac:dyDescent="0.25">
      <c r="A15" s="6" t="s">
        <v>31</v>
      </c>
      <c r="B15" s="7" t="s">
        <v>299</v>
      </c>
      <c r="C15" s="8">
        <v>1710888.86</v>
      </c>
      <c r="D15" s="8">
        <v>1124627.01</v>
      </c>
      <c r="E15" s="9">
        <v>0.65733493056936498</v>
      </c>
      <c r="F15" s="10" t="s">
        <v>17</v>
      </c>
      <c r="G15" s="10" t="s">
        <v>17</v>
      </c>
    </row>
    <row r="16" spans="1:7" x14ac:dyDescent="0.25">
      <c r="A16" s="6" t="s">
        <v>32</v>
      </c>
      <c r="B16" s="7" t="s">
        <v>175</v>
      </c>
      <c r="C16" s="8">
        <v>1337390.6499999999</v>
      </c>
      <c r="D16" s="8">
        <v>290849.40999999997</v>
      </c>
      <c r="E16" s="9">
        <v>0.217475282932478</v>
      </c>
      <c r="F16" s="10" t="s">
        <v>17</v>
      </c>
      <c r="G16" s="10" t="s">
        <v>17</v>
      </c>
    </row>
    <row r="17" spans="1:7" x14ac:dyDescent="0.25">
      <c r="A17" s="6" t="s">
        <v>33</v>
      </c>
      <c r="B17" s="7" t="s">
        <v>296</v>
      </c>
      <c r="C17" s="8">
        <v>1239130.07</v>
      </c>
      <c r="D17" s="8">
        <v>133353.89000000001</v>
      </c>
      <c r="E17" s="9">
        <v>0.10761896045344101</v>
      </c>
      <c r="F17" s="10" t="s">
        <v>17</v>
      </c>
      <c r="G17" s="10" t="s">
        <v>17</v>
      </c>
    </row>
    <row r="18" spans="1:7" x14ac:dyDescent="0.25">
      <c r="A18" s="6" t="s">
        <v>34</v>
      </c>
      <c r="B18" s="7" t="s">
        <v>176</v>
      </c>
      <c r="C18" s="8">
        <v>1225926.3</v>
      </c>
      <c r="D18" s="8">
        <v>304203.40999999997</v>
      </c>
      <c r="E18" s="9">
        <v>0.248141678663717</v>
      </c>
      <c r="F18" s="10" t="s">
        <v>17</v>
      </c>
      <c r="G18" s="10" t="s">
        <v>17</v>
      </c>
    </row>
    <row r="19" spans="1:7" x14ac:dyDescent="0.25">
      <c r="A19" s="6" t="s">
        <v>35</v>
      </c>
      <c r="B19" s="7" t="s">
        <v>177</v>
      </c>
      <c r="C19" s="8">
        <v>1223381.78</v>
      </c>
      <c r="D19" s="8">
        <v>282747.88</v>
      </c>
      <c r="E19" s="9">
        <v>0.23111990436869201</v>
      </c>
      <c r="F19" s="10" t="s">
        <v>5</v>
      </c>
      <c r="G19" s="11">
        <f>(D19 / F19)</f>
        <v>125.66572444444445</v>
      </c>
    </row>
    <row r="20" spans="1:7" x14ac:dyDescent="0.25">
      <c r="A20" s="6" t="s">
        <v>36</v>
      </c>
      <c r="B20" s="7" t="s">
        <v>178</v>
      </c>
      <c r="C20" s="8">
        <v>1221710.27</v>
      </c>
      <c r="D20" s="8">
        <v>267397.49</v>
      </c>
      <c r="E20" s="9">
        <v>0.21887144322687899</v>
      </c>
      <c r="F20" s="10" t="s">
        <v>17</v>
      </c>
      <c r="G20" s="10" t="s">
        <v>17</v>
      </c>
    </row>
    <row r="21" spans="1:7" x14ac:dyDescent="0.25">
      <c r="A21" s="6" t="s">
        <v>37</v>
      </c>
      <c r="B21" s="7" t="s">
        <v>331</v>
      </c>
      <c r="C21" s="8">
        <v>1221291.8</v>
      </c>
      <c r="D21" s="8">
        <v>990413.13</v>
      </c>
      <c r="E21" s="9">
        <v>0.81095535890767501</v>
      </c>
      <c r="F21" s="10" t="s">
        <v>17</v>
      </c>
      <c r="G21" s="10" t="s">
        <v>17</v>
      </c>
    </row>
    <row r="22" spans="1:7" x14ac:dyDescent="0.25">
      <c r="A22" s="6" t="s">
        <v>38</v>
      </c>
      <c r="B22" s="7" t="s">
        <v>182</v>
      </c>
      <c r="C22" s="8">
        <v>1197908.79</v>
      </c>
      <c r="D22" s="8">
        <v>41726.519999999997</v>
      </c>
      <c r="E22" s="9">
        <v>3.4832802253667403E-2</v>
      </c>
      <c r="F22" s="10" t="s">
        <v>17</v>
      </c>
      <c r="G22" s="10" t="s">
        <v>17</v>
      </c>
    </row>
    <row r="23" spans="1:7" x14ac:dyDescent="0.25">
      <c r="A23" s="6" t="s">
        <v>39</v>
      </c>
      <c r="B23" s="7" t="s">
        <v>186</v>
      </c>
      <c r="C23" s="8">
        <v>1126125.99</v>
      </c>
      <c r="D23" s="8">
        <v>30194.02</v>
      </c>
      <c r="E23" s="9">
        <v>2.6812293001069999E-2</v>
      </c>
      <c r="F23" s="10" t="s">
        <v>17</v>
      </c>
      <c r="G23" s="10" t="s">
        <v>17</v>
      </c>
    </row>
    <row r="24" spans="1:7" x14ac:dyDescent="0.25">
      <c r="A24" s="6" t="s">
        <v>40</v>
      </c>
      <c r="B24" s="7" t="s">
        <v>180</v>
      </c>
      <c r="C24" s="8">
        <v>1125949.45</v>
      </c>
      <c r="D24" s="8">
        <v>318656</v>
      </c>
      <c r="E24" s="9">
        <v>0.28301092913185399</v>
      </c>
      <c r="F24" s="10" t="s">
        <v>17</v>
      </c>
      <c r="G24" s="10" t="s">
        <v>17</v>
      </c>
    </row>
    <row r="25" spans="1:7" x14ac:dyDescent="0.25">
      <c r="A25" s="6" t="s">
        <v>41</v>
      </c>
      <c r="B25" s="7" t="s">
        <v>184</v>
      </c>
      <c r="C25" s="8">
        <v>1125254.3899999999</v>
      </c>
      <c r="D25" s="8">
        <v>120261.18</v>
      </c>
      <c r="E25" s="9">
        <v>0.10687465969361799</v>
      </c>
      <c r="F25" s="10" t="s">
        <v>17</v>
      </c>
      <c r="G25" s="10" t="s">
        <v>17</v>
      </c>
    </row>
    <row r="26" spans="1:7" x14ac:dyDescent="0.25">
      <c r="A26" s="6" t="s">
        <v>42</v>
      </c>
      <c r="B26" s="7" t="s">
        <v>189</v>
      </c>
      <c r="C26" s="8">
        <v>1113053.23</v>
      </c>
      <c r="D26" s="8">
        <v>307617.43</v>
      </c>
      <c r="E26" s="9">
        <v>0.276372613374474</v>
      </c>
      <c r="F26" s="10" t="s">
        <v>17</v>
      </c>
      <c r="G26" s="10" t="s">
        <v>17</v>
      </c>
    </row>
    <row r="27" spans="1:7" x14ac:dyDescent="0.25">
      <c r="A27" s="6" t="s">
        <v>43</v>
      </c>
      <c r="B27" s="7" t="s">
        <v>179</v>
      </c>
      <c r="C27" s="8">
        <v>1103599.32</v>
      </c>
      <c r="D27" s="8">
        <v>241386.68</v>
      </c>
      <c r="E27" s="9">
        <v>0.21872673861379299</v>
      </c>
      <c r="F27" s="10" t="s">
        <v>4</v>
      </c>
      <c r="G27" s="11">
        <f>(D27 / F27)</f>
        <v>40.231113333333333</v>
      </c>
    </row>
    <row r="28" spans="1:7" x14ac:dyDescent="0.25">
      <c r="A28" s="6" t="s">
        <v>44</v>
      </c>
      <c r="B28" s="7" t="s">
        <v>225</v>
      </c>
      <c r="C28" s="8">
        <v>1024993.78</v>
      </c>
      <c r="D28" s="8">
        <v>662208.54</v>
      </c>
      <c r="E28" s="9">
        <v>0.64606103268255899</v>
      </c>
      <c r="F28" s="10" t="s">
        <v>12</v>
      </c>
      <c r="G28" s="11">
        <f>(D28 / F28)</f>
        <v>147.15745333333334</v>
      </c>
    </row>
    <row r="29" spans="1:7" x14ac:dyDescent="0.25">
      <c r="A29" s="12" t="s">
        <v>45</v>
      </c>
      <c r="B29" s="13" t="s">
        <v>181</v>
      </c>
      <c r="C29" s="14">
        <v>1008973.4333</v>
      </c>
      <c r="D29" s="14">
        <v>226658.27</v>
      </c>
      <c r="E29" s="15">
        <v>0.22464245590558299</v>
      </c>
      <c r="F29" s="16" t="s">
        <v>6</v>
      </c>
      <c r="G29" s="17">
        <f>(D29 / F29)</f>
        <v>22.665827</v>
      </c>
    </row>
    <row r="30" spans="1:7" x14ac:dyDescent="0.25">
      <c r="A30" s="6" t="s">
        <v>46</v>
      </c>
      <c r="B30" s="7" t="s">
        <v>206</v>
      </c>
      <c r="C30" s="8">
        <v>1005737.18</v>
      </c>
      <c r="D30" s="8">
        <v>406758.37</v>
      </c>
      <c r="E30" s="9">
        <v>0.40443803618754598</v>
      </c>
      <c r="F30" s="10" t="s">
        <v>17</v>
      </c>
      <c r="G30" s="10" t="s">
        <v>17</v>
      </c>
    </row>
    <row r="31" spans="1:7" x14ac:dyDescent="0.25">
      <c r="A31" s="6" t="s">
        <v>47</v>
      </c>
      <c r="B31" s="7" t="s">
        <v>300</v>
      </c>
      <c r="C31" s="8">
        <v>974052.86</v>
      </c>
      <c r="D31" s="8">
        <v>254113.33</v>
      </c>
      <c r="E31" s="9">
        <v>0.26088248434484301</v>
      </c>
      <c r="F31" s="10" t="s">
        <v>17</v>
      </c>
      <c r="G31" s="10" t="s">
        <v>17</v>
      </c>
    </row>
    <row r="32" spans="1:7" x14ac:dyDescent="0.25">
      <c r="A32" s="6" t="s">
        <v>48</v>
      </c>
      <c r="B32" s="7" t="s">
        <v>188</v>
      </c>
      <c r="C32" s="8">
        <v>957224.46</v>
      </c>
      <c r="D32" s="8">
        <v>176543.38</v>
      </c>
      <c r="E32" s="9">
        <v>0.18443258334623</v>
      </c>
      <c r="F32" s="10" t="s">
        <v>17</v>
      </c>
      <c r="G32" s="10" t="s">
        <v>17</v>
      </c>
    </row>
    <row r="33" spans="1:7" x14ac:dyDescent="0.25">
      <c r="A33" s="6" t="s">
        <v>49</v>
      </c>
      <c r="B33" s="7" t="s">
        <v>187</v>
      </c>
      <c r="C33" s="8">
        <v>953830.89</v>
      </c>
      <c r="D33" s="8">
        <v>217407.49</v>
      </c>
      <c r="E33" s="9">
        <v>0.227930854703185</v>
      </c>
      <c r="F33" s="10" t="s">
        <v>17</v>
      </c>
      <c r="G33" s="10" t="s">
        <v>17</v>
      </c>
    </row>
    <row r="34" spans="1:7" x14ac:dyDescent="0.25">
      <c r="A34" s="6" t="s">
        <v>50</v>
      </c>
      <c r="B34" s="7" t="s">
        <v>199</v>
      </c>
      <c r="C34" s="8">
        <v>927297.54</v>
      </c>
      <c r="D34" s="8">
        <v>300749.27</v>
      </c>
      <c r="E34" s="9">
        <v>0.32432876938291</v>
      </c>
      <c r="F34" s="10" t="s">
        <v>12</v>
      </c>
      <c r="G34" s="11">
        <f>(D34 / F34)</f>
        <v>66.833171111111113</v>
      </c>
    </row>
    <row r="35" spans="1:7" x14ac:dyDescent="0.25">
      <c r="A35" s="6" t="s">
        <v>51</v>
      </c>
      <c r="B35" s="7" t="s">
        <v>174</v>
      </c>
      <c r="C35" s="8">
        <v>926882.89</v>
      </c>
      <c r="D35" s="8">
        <v>800680.88</v>
      </c>
      <c r="E35" s="9">
        <v>0.86384255081027606</v>
      </c>
      <c r="F35" s="10" t="s">
        <v>17</v>
      </c>
      <c r="G35" s="10" t="s">
        <v>17</v>
      </c>
    </row>
    <row r="36" spans="1:7" x14ac:dyDescent="0.25">
      <c r="A36" s="6" t="s">
        <v>52</v>
      </c>
      <c r="B36" s="7" t="s">
        <v>185</v>
      </c>
      <c r="C36" s="8">
        <v>897666.99</v>
      </c>
      <c r="D36" s="8">
        <v>202621.54</v>
      </c>
      <c r="E36" s="9">
        <v>0.225720163776993</v>
      </c>
      <c r="F36" s="10" t="s">
        <v>7</v>
      </c>
      <c r="G36" s="11">
        <f>(D36 / F36)</f>
        <v>57.891868571428574</v>
      </c>
    </row>
    <row r="37" spans="1:7" x14ac:dyDescent="0.25">
      <c r="A37" s="6" t="s">
        <v>53</v>
      </c>
      <c r="B37" s="7" t="s">
        <v>190</v>
      </c>
      <c r="C37" s="8">
        <v>881666.33</v>
      </c>
      <c r="D37" s="8">
        <v>250617.3</v>
      </c>
      <c r="E37" s="9">
        <v>0.28425413500819502</v>
      </c>
      <c r="F37" s="10" t="s">
        <v>17</v>
      </c>
      <c r="G37" s="10" t="s">
        <v>17</v>
      </c>
    </row>
    <row r="38" spans="1:7" x14ac:dyDescent="0.25">
      <c r="A38" s="6" t="s">
        <v>54</v>
      </c>
      <c r="B38" s="7" t="s">
        <v>194</v>
      </c>
      <c r="C38" s="8">
        <v>846549.99</v>
      </c>
      <c r="D38" s="8">
        <v>168224.75</v>
      </c>
      <c r="E38" s="9">
        <v>0.198718034359672</v>
      </c>
      <c r="F38" s="10" t="s">
        <v>10</v>
      </c>
      <c r="G38" s="11">
        <f>(D38 / F38)</f>
        <v>336.4495</v>
      </c>
    </row>
    <row r="39" spans="1:7" x14ac:dyDescent="0.25">
      <c r="A39" s="6" t="s">
        <v>55</v>
      </c>
      <c r="B39" s="7" t="s">
        <v>192</v>
      </c>
      <c r="C39" s="8">
        <v>839082.26</v>
      </c>
      <c r="D39" s="8">
        <v>185635.75</v>
      </c>
      <c r="E39" s="9">
        <v>0.22123665205363799</v>
      </c>
      <c r="F39" s="10" t="s">
        <v>17</v>
      </c>
      <c r="G39" s="10" t="s">
        <v>17</v>
      </c>
    </row>
    <row r="40" spans="1:7" x14ac:dyDescent="0.25">
      <c r="A40" s="6" t="s">
        <v>56</v>
      </c>
      <c r="B40" s="7" t="s">
        <v>193</v>
      </c>
      <c r="C40" s="8">
        <v>812221.51</v>
      </c>
      <c r="D40" s="8">
        <v>162788.63</v>
      </c>
      <c r="E40" s="9">
        <v>0.20042393361387301</v>
      </c>
      <c r="F40" s="10" t="s">
        <v>9</v>
      </c>
      <c r="G40" s="11">
        <f>(D40 / F40)</f>
        <v>63.83867843137255</v>
      </c>
    </row>
    <row r="41" spans="1:7" x14ac:dyDescent="0.25">
      <c r="A41" s="6" t="s">
        <v>57</v>
      </c>
      <c r="B41" s="7" t="s">
        <v>191</v>
      </c>
      <c r="C41" s="8">
        <v>800939.89</v>
      </c>
      <c r="D41" s="8">
        <v>169160.23</v>
      </c>
      <c r="E41" s="9">
        <v>0.21120215400933501</v>
      </c>
      <c r="F41" s="10" t="s">
        <v>8</v>
      </c>
      <c r="G41" s="11">
        <f>(D41 / F41)</f>
        <v>62.651937037037044</v>
      </c>
    </row>
    <row r="42" spans="1:7" x14ac:dyDescent="0.25">
      <c r="A42" s="6" t="s">
        <v>58</v>
      </c>
      <c r="B42" s="7" t="s">
        <v>195</v>
      </c>
      <c r="C42" s="8">
        <v>800604.29</v>
      </c>
      <c r="D42" s="8">
        <v>193762.49</v>
      </c>
      <c r="E42" s="9">
        <v>0.242020299441563</v>
      </c>
      <c r="F42" s="10" t="s">
        <v>17</v>
      </c>
      <c r="G42" s="10" t="s">
        <v>17</v>
      </c>
    </row>
    <row r="43" spans="1:7" x14ac:dyDescent="0.25">
      <c r="A43" s="6" t="s">
        <v>59</v>
      </c>
      <c r="B43" s="7" t="s">
        <v>301</v>
      </c>
      <c r="C43" s="8">
        <v>800411.71</v>
      </c>
      <c r="D43" s="8">
        <v>487685.02</v>
      </c>
      <c r="E43" s="9">
        <v>0.60929271012289399</v>
      </c>
      <c r="F43" s="10" t="s">
        <v>17</v>
      </c>
      <c r="G43" s="10" t="s">
        <v>17</v>
      </c>
    </row>
    <row r="44" spans="1:7" x14ac:dyDescent="0.25">
      <c r="A44" s="6" t="s">
        <v>60</v>
      </c>
      <c r="B44" s="7" t="s">
        <v>219</v>
      </c>
      <c r="C44" s="8">
        <v>793332.57</v>
      </c>
      <c r="D44" s="8">
        <v>247489.32</v>
      </c>
      <c r="E44" s="9">
        <v>0.31196162789585202</v>
      </c>
      <c r="F44" s="10" t="s">
        <v>17</v>
      </c>
      <c r="G44" s="10" t="s">
        <v>17</v>
      </c>
    </row>
    <row r="45" spans="1:7" x14ac:dyDescent="0.25">
      <c r="A45" s="6" t="s">
        <v>61</v>
      </c>
      <c r="B45" s="7" t="s">
        <v>302</v>
      </c>
      <c r="C45" s="8">
        <v>751027.06</v>
      </c>
      <c r="D45" s="8">
        <v>403397.72</v>
      </c>
      <c r="E45" s="9">
        <v>0.53712807631725001</v>
      </c>
      <c r="F45" s="10" t="s">
        <v>17</v>
      </c>
      <c r="G45" s="10" t="s">
        <v>17</v>
      </c>
    </row>
    <row r="46" spans="1:7" x14ac:dyDescent="0.25">
      <c r="A46" s="6" t="s">
        <v>62</v>
      </c>
      <c r="B46" s="7" t="s">
        <v>252</v>
      </c>
      <c r="C46" s="8">
        <v>711640.66</v>
      </c>
      <c r="D46" s="8">
        <v>147087.96</v>
      </c>
      <c r="E46" s="9">
        <v>0.206688527325013</v>
      </c>
      <c r="F46" s="10" t="s">
        <v>17</v>
      </c>
      <c r="G46" s="10" t="s">
        <v>17</v>
      </c>
    </row>
    <row r="47" spans="1:7" x14ac:dyDescent="0.25">
      <c r="A47" s="6" t="s">
        <v>63</v>
      </c>
      <c r="B47" s="7" t="s">
        <v>196</v>
      </c>
      <c r="C47" s="8">
        <v>698974.84</v>
      </c>
      <c r="D47" s="8">
        <v>103116.21</v>
      </c>
      <c r="E47" s="9">
        <v>0.147524923786956</v>
      </c>
      <c r="F47" s="10" t="s">
        <v>17</v>
      </c>
      <c r="G47" s="10" t="s">
        <v>17</v>
      </c>
    </row>
    <row r="48" spans="1:7" x14ac:dyDescent="0.25">
      <c r="A48" s="6" t="s">
        <v>64</v>
      </c>
      <c r="B48" s="7" t="s">
        <v>198</v>
      </c>
      <c r="C48" s="8">
        <v>688598.45</v>
      </c>
      <c r="D48" s="8">
        <v>115108.45</v>
      </c>
      <c r="E48" s="9">
        <v>0.16716338818363599</v>
      </c>
      <c r="F48" s="10" t="s">
        <v>17</v>
      </c>
      <c r="G48" s="10" t="s">
        <v>17</v>
      </c>
    </row>
    <row r="49" spans="1:7" x14ac:dyDescent="0.25">
      <c r="A49" s="6" t="s">
        <v>65</v>
      </c>
      <c r="B49" s="7" t="s">
        <v>213</v>
      </c>
      <c r="C49" s="8">
        <v>633869.89</v>
      </c>
      <c r="D49" s="8">
        <v>7016.97</v>
      </c>
      <c r="E49" s="9">
        <v>1.10700478295317E-2</v>
      </c>
      <c r="F49" s="10" t="s">
        <v>17</v>
      </c>
      <c r="G49" s="10" t="s">
        <v>17</v>
      </c>
    </row>
    <row r="50" spans="1:7" x14ac:dyDescent="0.25">
      <c r="A50" s="6" t="s">
        <v>66</v>
      </c>
      <c r="B50" s="7" t="s">
        <v>201</v>
      </c>
      <c r="C50" s="8">
        <v>628129.68999999994</v>
      </c>
      <c r="D50" s="8">
        <v>117976.14</v>
      </c>
      <c r="E50" s="9">
        <v>0.18782130804866101</v>
      </c>
      <c r="F50" s="10" t="s">
        <v>13</v>
      </c>
      <c r="G50" s="11">
        <f>(D50 / F50)</f>
        <v>39.325380000000003</v>
      </c>
    </row>
    <row r="51" spans="1:7" x14ac:dyDescent="0.25">
      <c r="A51" s="6" t="s">
        <v>67</v>
      </c>
      <c r="B51" s="7" t="s">
        <v>197</v>
      </c>
      <c r="C51" s="8">
        <v>615144.21</v>
      </c>
      <c r="D51" s="8">
        <v>163092.4</v>
      </c>
      <c r="E51" s="9">
        <v>0.265128724856241</v>
      </c>
      <c r="F51" s="10" t="s">
        <v>11</v>
      </c>
      <c r="G51" s="11">
        <f>(D51 / F51)</f>
        <v>43.336566234166533</v>
      </c>
    </row>
    <row r="52" spans="1:7" x14ac:dyDescent="0.25">
      <c r="A52" s="6" t="s">
        <v>68</v>
      </c>
      <c r="B52" s="7" t="s">
        <v>205</v>
      </c>
      <c r="C52" s="8">
        <v>592274.89</v>
      </c>
      <c r="D52" s="8">
        <v>93825.46</v>
      </c>
      <c r="E52" s="9">
        <v>0.15841539390602899</v>
      </c>
      <c r="F52" s="10" t="s">
        <v>17</v>
      </c>
      <c r="G52" s="10" t="s">
        <v>17</v>
      </c>
    </row>
    <row r="53" spans="1:7" x14ac:dyDescent="0.25">
      <c r="A53" s="6" t="s">
        <v>69</v>
      </c>
      <c r="B53" s="7" t="s">
        <v>329</v>
      </c>
      <c r="C53" s="8">
        <v>588516.56999999995</v>
      </c>
      <c r="D53" s="8">
        <v>454022.67</v>
      </c>
      <c r="E53" s="9">
        <v>0.77146964613077895</v>
      </c>
      <c r="F53" s="10" t="s">
        <v>17</v>
      </c>
      <c r="G53" s="10" t="s">
        <v>17</v>
      </c>
    </row>
    <row r="54" spans="1:7" x14ac:dyDescent="0.25">
      <c r="A54" s="6" t="s">
        <v>70</v>
      </c>
      <c r="B54" s="7" t="s">
        <v>202</v>
      </c>
      <c r="C54" s="8">
        <v>555545.01</v>
      </c>
      <c r="D54" s="8">
        <v>126394.51</v>
      </c>
      <c r="E54" s="9">
        <v>0.22751443667903701</v>
      </c>
      <c r="F54" s="10" t="s">
        <v>17</v>
      </c>
      <c r="G54" s="10" t="s">
        <v>17</v>
      </c>
    </row>
    <row r="55" spans="1:7" x14ac:dyDescent="0.25">
      <c r="A55" s="6" t="s">
        <v>71</v>
      </c>
      <c r="B55" s="7" t="s">
        <v>203</v>
      </c>
      <c r="C55" s="8">
        <v>546111.26</v>
      </c>
      <c r="D55" s="8">
        <v>61664.04</v>
      </c>
      <c r="E55" s="9">
        <v>0.112914793223637</v>
      </c>
      <c r="F55" s="10" t="s">
        <v>17</v>
      </c>
      <c r="G55" s="10" t="s">
        <v>17</v>
      </c>
    </row>
    <row r="56" spans="1:7" x14ac:dyDescent="0.25">
      <c r="A56" s="6" t="s">
        <v>72</v>
      </c>
      <c r="B56" s="7" t="s">
        <v>204</v>
      </c>
      <c r="C56" s="8">
        <v>520836.98</v>
      </c>
      <c r="D56" s="8">
        <v>118255.25</v>
      </c>
      <c r="E56" s="9">
        <v>0.22704849029728999</v>
      </c>
      <c r="F56" s="10" t="s">
        <v>17</v>
      </c>
      <c r="G56" s="10" t="s">
        <v>17</v>
      </c>
    </row>
    <row r="57" spans="1:7" x14ac:dyDescent="0.25">
      <c r="A57" s="6" t="s">
        <v>73</v>
      </c>
      <c r="B57" s="7" t="s">
        <v>237</v>
      </c>
      <c r="C57" s="8">
        <v>488027.41</v>
      </c>
      <c r="D57" s="8">
        <v>201829.64</v>
      </c>
      <c r="E57" s="9">
        <v>0.41356209889932199</v>
      </c>
      <c r="F57" s="10" t="s">
        <v>17</v>
      </c>
      <c r="G57" s="10" t="s">
        <v>17</v>
      </c>
    </row>
    <row r="58" spans="1:7" x14ac:dyDescent="0.25">
      <c r="A58" s="6" t="s">
        <v>74</v>
      </c>
      <c r="B58" s="7" t="s">
        <v>200</v>
      </c>
      <c r="C58" s="8">
        <v>464658.48</v>
      </c>
      <c r="D58" s="8">
        <v>109102.59</v>
      </c>
      <c r="E58" s="9">
        <v>0.23480167627630499</v>
      </c>
      <c r="F58" s="10" t="s">
        <v>17</v>
      </c>
      <c r="G58" s="10" t="s">
        <v>17</v>
      </c>
    </row>
    <row r="59" spans="1:7" x14ac:dyDescent="0.25">
      <c r="A59" s="6" t="s">
        <v>75</v>
      </c>
      <c r="B59" s="7" t="s">
        <v>208</v>
      </c>
      <c r="C59" s="8">
        <v>461452.87219999998</v>
      </c>
      <c r="D59" s="8">
        <v>91750.57</v>
      </c>
      <c r="E59" s="9">
        <v>0.19882977336900001</v>
      </c>
      <c r="F59" s="10" t="s">
        <v>14</v>
      </c>
      <c r="G59" s="11">
        <f>(D59 / F59)</f>
        <v>36.700228000000003</v>
      </c>
    </row>
    <row r="60" spans="1:7" x14ac:dyDescent="0.25">
      <c r="A60" s="6" t="s">
        <v>76</v>
      </c>
      <c r="B60" s="7" t="s">
        <v>215</v>
      </c>
      <c r="C60" s="8">
        <v>459702.34</v>
      </c>
      <c r="D60" s="8">
        <v>76005.94</v>
      </c>
      <c r="E60" s="9">
        <v>0.165337291952875</v>
      </c>
      <c r="F60" s="10" t="s">
        <v>17</v>
      </c>
      <c r="G60" s="10" t="s">
        <v>17</v>
      </c>
    </row>
    <row r="61" spans="1:7" x14ac:dyDescent="0.25">
      <c r="A61" s="6" t="s">
        <v>77</v>
      </c>
      <c r="B61" s="7" t="s">
        <v>207</v>
      </c>
      <c r="C61" s="8">
        <v>452073.71</v>
      </c>
      <c r="D61" s="8">
        <v>152269.91</v>
      </c>
      <c r="E61" s="9">
        <v>0.33682540398113398</v>
      </c>
      <c r="F61" s="10" t="s">
        <v>17</v>
      </c>
      <c r="G61" s="10" t="s">
        <v>17</v>
      </c>
    </row>
    <row r="62" spans="1:7" x14ac:dyDescent="0.25">
      <c r="A62" s="6" t="s">
        <v>78</v>
      </c>
      <c r="B62" s="7" t="s">
        <v>221</v>
      </c>
      <c r="C62" s="8">
        <v>450100.79</v>
      </c>
      <c r="D62" s="8">
        <v>157332.18</v>
      </c>
      <c r="E62" s="9">
        <v>0.349548775508703</v>
      </c>
      <c r="F62" s="10" t="s">
        <v>17</v>
      </c>
      <c r="G62" s="10" t="s">
        <v>17</v>
      </c>
    </row>
    <row r="63" spans="1:7" x14ac:dyDescent="0.25">
      <c r="A63" s="6" t="s">
        <v>79</v>
      </c>
      <c r="B63" s="7" t="s">
        <v>250</v>
      </c>
      <c r="C63" s="8">
        <v>437092.12</v>
      </c>
      <c r="D63" s="8">
        <v>201172.68</v>
      </c>
      <c r="E63" s="9">
        <v>0.46025236053214602</v>
      </c>
      <c r="F63" s="10" t="s">
        <v>17</v>
      </c>
      <c r="G63" s="10" t="s">
        <v>17</v>
      </c>
    </row>
    <row r="64" spans="1:7" x14ac:dyDescent="0.25">
      <c r="A64" s="6" t="s">
        <v>80</v>
      </c>
      <c r="B64" s="7" t="s">
        <v>223</v>
      </c>
      <c r="C64" s="8">
        <v>420931.19</v>
      </c>
      <c r="D64" s="8">
        <v>55826.03</v>
      </c>
      <c r="E64" s="9">
        <v>0.132625073471035</v>
      </c>
      <c r="F64" s="10" t="s">
        <v>17</v>
      </c>
      <c r="G64" s="10" t="s">
        <v>17</v>
      </c>
    </row>
    <row r="65" spans="1:7" x14ac:dyDescent="0.25">
      <c r="A65" s="6" t="s">
        <v>81</v>
      </c>
      <c r="B65" s="7" t="s">
        <v>214</v>
      </c>
      <c r="C65" s="8">
        <v>405653.17</v>
      </c>
      <c r="D65" s="8">
        <v>27884.21</v>
      </c>
      <c r="E65" s="9">
        <v>6.8739041284947899E-2</v>
      </c>
      <c r="F65" s="10" t="s">
        <v>17</v>
      </c>
      <c r="G65" s="10" t="s">
        <v>17</v>
      </c>
    </row>
    <row r="66" spans="1:7" x14ac:dyDescent="0.25">
      <c r="A66" s="6" t="s">
        <v>82</v>
      </c>
      <c r="B66" s="7" t="s">
        <v>211</v>
      </c>
      <c r="C66" s="8">
        <v>405133.02</v>
      </c>
      <c r="D66" s="8">
        <v>61762.82</v>
      </c>
      <c r="E66" s="9">
        <v>0.15245071853190301</v>
      </c>
      <c r="F66" s="10" t="s">
        <v>17</v>
      </c>
      <c r="G66" s="10" t="s">
        <v>17</v>
      </c>
    </row>
    <row r="67" spans="1:7" x14ac:dyDescent="0.25">
      <c r="A67" s="6" t="s">
        <v>83</v>
      </c>
      <c r="B67" s="7" t="s">
        <v>224</v>
      </c>
      <c r="C67" s="8">
        <v>402420.6</v>
      </c>
      <c r="D67" s="8">
        <v>135196.74</v>
      </c>
      <c r="E67" s="9">
        <v>0.33595879534994</v>
      </c>
      <c r="F67" s="10" t="s">
        <v>17</v>
      </c>
      <c r="G67" s="10" t="s">
        <v>17</v>
      </c>
    </row>
    <row r="68" spans="1:7" x14ac:dyDescent="0.25">
      <c r="A68" s="6" t="s">
        <v>84</v>
      </c>
      <c r="B68" s="7" t="s">
        <v>304</v>
      </c>
      <c r="C68" s="8">
        <v>400253.5</v>
      </c>
      <c r="D68" s="8">
        <v>27746.61</v>
      </c>
      <c r="E68" s="9">
        <v>6.9322591807442005E-2</v>
      </c>
      <c r="F68" s="10" t="s">
        <v>17</v>
      </c>
      <c r="G68" s="10" t="s">
        <v>17</v>
      </c>
    </row>
    <row r="69" spans="1:7" x14ac:dyDescent="0.25">
      <c r="A69" s="6" t="s">
        <v>85</v>
      </c>
      <c r="B69" s="7" t="s">
        <v>212</v>
      </c>
      <c r="C69" s="8">
        <v>395228.61</v>
      </c>
      <c r="D69" s="8">
        <v>71753.919999999998</v>
      </c>
      <c r="E69" s="9">
        <v>0.18155041964193799</v>
      </c>
      <c r="F69" s="10" t="s">
        <v>17</v>
      </c>
      <c r="G69" s="10" t="s">
        <v>17</v>
      </c>
    </row>
    <row r="70" spans="1:7" x14ac:dyDescent="0.25">
      <c r="A70" s="6" t="s">
        <v>86</v>
      </c>
      <c r="B70" s="7" t="s">
        <v>209</v>
      </c>
      <c r="C70" s="8">
        <v>394874.47</v>
      </c>
      <c r="D70" s="8">
        <v>74613.19</v>
      </c>
      <c r="E70" s="9">
        <v>0.18895420106546801</v>
      </c>
      <c r="F70" s="10" t="s">
        <v>17</v>
      </c>
      <c r="G70" s="10" t="s">
        <v>17</v>
      </c>
    </row>
    <row r="71" spans="1:7" x14ac:dyDescent="0.25">
      <c r="A71" s="6" t="s">
        <v>87</v>
      </c>
      <c r="B71" s="7" t="s">
        <v>210</v>
      </c>
      <c r="C71" s="8">
        <v>374789.9</v>
      </c>
      <c r="D71" s="8">
        <v>74290.100000000006</v>
      </c>
      <c r="E71" s="9">
        <v>0.19821798826489201</v>
      </c>
      <c r="F71" s="10" t="s">
        <v>17</v>
      </c>
      <c r="G71" s="10" t="s">
        <v>17</v>
      </c>
    </row>
    <row r="72" spans="1:7" x14ac:dyDescent="0.25">
      <c r="A72" s="6" t="s">
        <v>88</v>
      </c>
      <c r="B72" s="7" t="s">
        <v>220</v>
      </c>
      <c r="C72" s="8">
        <v>358935.98</v>
      </c>
      <c r="D72" s="8">
        <v>64002.69</v>
      </c>
      <c r="E72" s="9">
        <v>0.17831227173157699</v>
      </c>
      <c r="F72" s="10" t="s">
        <v>17</v>
      </c>
      <c r="G72" s="10" t="s">
        <v>17</v>
      </c>
    </row>
    <row r="73" spans="1:7" x14ac:dyDescent="0.25">
      <c r="A73" s="6" t="s">
        <v>89</v>
      </c>
      <c r="B73" s="7" t="s">
        <v>222</v>
      </c>
      <c r="C73" s="8">
        <v>349875.85</v>
      </c>
      <c r="D73" s="8">
        <v>43822.35</v>
      </c>
      <c r="E73" s="9">
        <v>0.12525114265531601</v>
      </c>
      <c r="F73" s="10" t="s">
        <v>17</v>
      </c>
      <c r="G73" s="10" t="s">
        <v>17</v>
      </c>
    </row>
    <row r="74" spans="1:7" x14ac:dyDescent="0.25">
      <c r="A74" s="6" t="s">
        <v>90</v>
      </c>
      <c r="B74" s="7" t="s">
        <v>218</v>
      </c>
      <c r="C74" s="8">
        <v>341721.62</v>
      </c>
      <c r="D74" s="8">
        <v>57586.74</v>
      </c>
      <c r="E74" s="9">
        <v>0.168519451593376</v>
      </c>
      <c r="F74" s="10" t="s">
        <v>17</v>
      </c>
      <c r="G74" s="10" t="s">
        <v>17</v>
      </c>
    </row>
    <row r="75" spans="1:7" x14ac:dyDescent="0.25">
      <c r="A75" s="6" t="s">
        <v>91</v>
      </c>
      <c r="B75" s="7" t="s">
        <v>217</v>
      </c>
      <c r="C75" s="8">
        <v>340956.17</v>
      </c>
      <c r="D75" s="8">
        <v>61457.35</v>
      </c>
      <c r="E75" s="9">
        <v>0.18025000104852201</v>
      </c>
      <c r="F75" s="10" t="s">
        <v>15</v>
      </c>
      <c r="G75" s="11">
        <f>(D75 / F75)</f>
        <v>61.457349999999998</v>
      </c>
    </row>
    <row r="76" spans="1:7" x14ac:dyDescent="0.25">
      <c r="A76" s="6" t="s">
        <v>92</v>
      </c>
      <c r="B76" s="7" t="s">
        <v>216</v>
      </c>
      <c r="C76" s="8">
        <v>317857.84999999998</v>
      </c>
      <c r="D76" s="8">
        <v>166144.54</v>
      </c>
      <c r="E76" s="9">
        <v>0.52270076073313898</v>
      </c>
      <c r="F76" s="10" t="s">
        <v>17</v>
      </c>
      <c r="G76" s="10" t="s">
        <v>17</v>
      </c>
    </row>
    <row r="77" spans="1:7" x14ac:dyDescent="0.25">
      <c r="A77" s="6" t="s">
        <v>93</v>
      </c>
      <c r="B77" s="7" t="s">
        <v>227</v>
      </c>
      <c r="C77" s="8">
        <v>315714.03000000003</v>
      </c>
      <c r="D77" s="8">
        <v>30807.88</v>
      </c>
      <c r="E77" s="9">
        <v>9.7581599398671004E-2</v>
      </c>
      <c r="F77" s="10" t="s">
        <v>17</v>
      </c>
      <c r="G77" s="10" t="s">
        <v>17</v>
      </c>
    </row>
    <row r="78" spans="1:7" x14ac:dyDescent="0.25">
      <c r="A78" s="6" t="s">
        <v>94</v>
      </c>
      <c r="B78" s="7" t="s">
        <v>226</v>
      </c>
      <c r="C78" s="8">
        <v>315092.65999999997</v>
      </c>
      <c r="D78" s="8">
        <v>20226.73</v>
      </c>
      <c r="E78" s="9">
        <v>6.4192958350727705E-2</v>
      </c>
      <c r="F78" s="10" t="s">
        <v>17</v>
      </c>
      <c r="G78" s="10" t="s">
        <v>17</v>
      </c>
    </row>
    <row r="79" spans="1:7" x14ac:dyDescent="0.25">
      <c r="A79" s="6" t="s">
        <v>95</v>
      </c>
      <c r="B79" s="7" t="s">
        <v>303</v>
      </c>
      <c r="C79" s="8">
        <v>311669.96000000002</v>
      </c>
      <c r="D79" s="8">
        <v>32098.33</v>
      </c>
      <c r="E79" s="9">
        <v>0.10298820585724699</v>
      </c>
      <c r="F79" s="10" t="s">
        <v>17</v>
      </c>
      <c r="G79" s="10" t="s">
        <v>17</v>
      </c>
    </row>
    <row r="80" spans="1:7" x14ac:dyDescent="0.25">
      <c r="A80" s="6" t="s">
        <v>96</v>
      </c>
      <c r="B80" s="7" t="s">
        <v>228</v>
      </c>
      <c r="C80" s="8">
        <v>287376.15999999997</v>
      </c>
      <c r="D80" s="8">
        <v>14430.33</v>
      </c>
      <c r="E80" s="9">
        <v>5.0214081780478897E-2</v>
      </c>
      <c r="F80" s="10" t="s">
        <v>17</v>
      </c>
      <c r="G80" s="10" t="s">
        <v>17</v>
      </c>
    </row>
    <row r="81" spans="1:7" x14ac:dyDescent="0.25">
      <c r="A81" s="6" t="s">
        <v>97</v>
      </c>
      <c r="B81" s="7" t="s">
        <v>229</v>
      </c>
      <c r="C81" s="8">
        <v>282610.95</v>
      </c>
      <c r="D81" s="8">
        <v>38882.870000000003</v>
      </c>
      <c r="E81" s="9">
        <v>0.13758444249948601</v>
      </c>
      <c r="F81" s="10" t="s">
        <v>17</v>
      </c>
      <c r="G81" s="10" t="s">
        <v>17</v>
      </c>
    </row>
    <row r="82" spans="1:7" x14ac:dyDescent="0.25">
      <c r="A82" s="6" t="s">
        <v>98</v>
      </c>
      <c r="B82" s="7" t="s">
        <v>232</v>
      </c>
      <c r="C82" s="8">
        <v>273125.81</v>
      </c>
      <c r="D82" s="8">
        <v>15814.05</v>
      </c>
      <c r="E82" s="9">
        <v>5.7900240186015403E-2</v>
      </c>
      <c r="F82" s="10" t="s">
        <v>17</v>
      </c>
      <c r="G82" s="10" t="s">
        <v>17</v>
      </c>
    </row>
    <row r="83" spans="1:7" x14ac:dyDescent="0.25">
      <c r="A83" s="6" t="s">
        <v>99</v>
      </c>
      <c r="B83" s="7" t="s">
        <v>231</v>
      </c>
      <c r="C83" s="8">
        <v>271235.18</v>
      </c>
      <c r="D83" s="8">
        <v>29543.439999999999</v>
      </c>
      <c r="E83" s="9">
        <v>0.10892185888276</v>
      </c>
      <c r="F83" s="10" t="s">
        <v>17</v>
      </c>
      <c r="G83" s="10" t="s">
        <v>17</v>
      </c>
    </row>
    <row r="84" spans="1:7" x14ac:dyDescent="0.25">
      <c r="A84" s="6" t="s">
        <v>100</v>
      </c>
      <c r="B84" s="7" t="s">
        <v>254</v>
      </c>
      <c r="C84" s="8">
        <v>270841.40000000002</v>
      </c>
      <c r="D84" s="8">
        <v>37781.56</v>
      </c>
      <c r="E84" s="9">
        <v>0.13949698975119801</v>
      </c>
      <c r="F84" s="10" t="s">
        <v>17</v>
      </c>
      <c r="G84" s="10" t="s">
        <v>17</v>
      </c>
    </row>
    <row r="85" spans="1:7" x14ac:dyDescent="0.25">
      <c r="A85" s="6" t="s">
        <v>101</v>
      </c>
      <c r="B85" s="7" t="s">
        <v>234</v>
      </c>
      <c r="C85" s="8">
        <v>260744.95999999999</v>
      </c>
      <c r="D85" s="8">
        <v>25306.18</v>
      </c>
      <c r="E85" s="9">
        <v>9.7053381204376898E-2</v>
      </c>
      <c r="F85" s="10" t="s">
        <v>17</v>
      </c>
      <c r="G85" s="10" t="s">
        <v>17</v>
      </c>
    </row>
    <row r="86" spans="1:7" x14ac:dyDescent="0.25">
      <c r="A86" s="6" t="s">
        <v>102</v>
      </c>
      <c r="B86" s="7" t="s">
        <v>233</v>
      </c>
      <c r="C86" s="8">
        <v>253857.44</v>
      </c>
      <c r="D86" s="8">
        <v>50567.1</v>
      </c>
      <c r="E86" s="9">
        <v>0.199194870948041</v>
      </c>
      <c r="F86" s="10" t="s">
        <v>17</v>
      </c>
      <c r="G86" s="10" t="s">
        <v>17</v>
      </c>
    </row>
    <row r="87" spans="1:7" x14ac:dyDescent="0.25">
      <c r="A87" s="6" t="s">
        <v>103</v>
      </c>
      <c r="B87" s="7" t="s">
        <v>235</v>
      </c>
      <c r="C87" s="8">
        <v>235018.1</v>
      </c>
      <c r="D87" s="8">
        <v>31067.08</v>
      </c>
      <c r="E87" s="9">
        <v>0.13219015897073499</v>
      </c>
      <c r="F87" s="10" t="s">
        <v>17</v>
      </c>
      <c r="G87" s="10" t="s">
        <v>17</v>
      </c>
    </row>
    <row r="88" spans="1:7" x14ac:dyDescent="0.25">
      <c r="A88" s="6" t="s">
        <v>104</v>
      </c>
      <c r="B88" s="7" t="s">
        <v>236</v>
      </c>
      <c r="C88" s="8">
        <v>224233.58</v>
      </c>
      <c r="D88" s="8">
        <v>80251.05</v>
      </c>
      <c r="E88" s="9">
        <v>0.35789041944565098</v>
      </c>
      <c r="F88" s="10" t="s">
        <v>17</v>
      </c>
      <c r="G88" s="10" t="s">
        <v>17</v>
      </c>
    </row>
    <row r="89" spans="1:7" x14ac:dyDescent="0.25">
      <c r="A89" s="6" t="s">
        <v>105</v>
      </c>
      <c r="B89" s="7" t="s">
        <v>305</v>
      </c>
      <c r="C89" s="8">
        <v>212173.74</v>
      </c>
      <c r="D89" s="8">
        <v>133158.68</v>
      </c>
      <c r="E89" s="9">
        <v>0.62759265119236696</v>
      </c>
      <c r="F89" s="10" t="s">
        <v>17</v>
      </c>
      <c r="G89" s="10" t="s">
        <v>17</v>
      </c>
    </row>
    <row r="90" spans="1:7" x14ac:dyDescent="0.25">
      <c r="A90" s="12" t="s">
        <v>106</v>
      </c>
      <c r="B90" s="13" t="s">
        <v>230</v>
      </c>
      <c r="C90" s="14">
        <v>201304.13</v>
      </c>
      <c r="D90" s="14">
        <v>43809.919999999998</v>
      </c>
      <c r="E90" s="15">
        <v>0.21763050763041999</v>
      </c>
      <c r="F90" s="16" t="s">
        <v>292</v>
      </c>
      <c r="G90" s="17">
        <f>(D90 / F90)</f>
        <v>11.840518918918919</v>
      </c>
    </row>
    <row r="91" spans="1:7" x14ac:dyDescent="0.25">
      <c r="A91" s="6" t="s">
        <v>107</v>
      </c>
      <c r="B91" s="7" t="s">
        <v>307</v>
      </c>
      <c r="C91" s="8">
        <v>199575.42</v>
      </c>
      <c r="D91" s="8">
        <v>102302.78</v>
      </c>
      <c r="E91" s="9">
        <v>0.51260210300446796</v>
      </c>
      <c r="F91" s="10" t="s">
        <v>17</v>
      </c>
      <c r="G91" s="10" t="s">
        <v>17</v>
      </c>
    </row>
    <row r="92" spans="1:7" x14ac:dyDescent="0.25">
      <c r="A92" s="6" t="s">
        <v>108</v>
      </c>
      <c r="B92" s="7" t="s">
        <v>238</v>
      </c>
      <c r="C92" s="8">
        <v>197940</v>
      </c>
      <c r="D92" s="8">
        <v>12100.47</v>
      </c>
      <c r="E92" s="9">
        <v>6.1132009699909097E-2</v>
      </c>
      <c r="F92" s="10" t="s">
        <v>17</v>
      </c>
      <c r="G92" s="10" t="s">
        <v>17</v>
      </c>
    </row>
    <row r="93" spans="1:7" x14ac:dyDescent="0.25">
      <c r="A93" s="6" t="s">
        <v>109</v>
      </c>
      <c r="B93" s="7" t="s">
        <v>239</v>
      </c>
      <c r="C93" s="8">
        <v>190007.19</v>
      </c>
      <c r="D93" s="8">
        <v>159787.15</v>
      </c>
      <c r="E93" s="9">
        <v>0.84095317656137103</v>
      </c>
      <c r="F93" s="10" t="s">
        <v>17</v>
      </c>
      <c r="G93" s="10" t="s">
        <v>17</v>
      </c>
    </row>
    <row r="94" spans="1:7" x14ac:dyDescent="0.25">
      <c r="A94" s="6" t="s">
        <v>110</v>
      </c>
      <c r="B94" s="7" t="s">
        <v>320</v>
      </c>
      <c r="C94" s="8">
        <v>171299.14</v>
      </c>
      <c r="D94" s="8">
        <v>68644.759999999995</v>
      </c>
      <c r="E94" s="9">
        <v>0.40073032474068498</v>
      </c>
      <c r="F94" s="10" t="s">
        <v>17</v>
      </c>
      <c r="G94" s="10" t="s">
        <v>17</v>
      </c>
    </row>
    <row r="95" spans="1:7" x14ac:dyDescent="0.25">
      <c r="A95" s="6" t="s">
        <v>111</v>
      </c>
      <c r="B95" s="7" t="s">
        <v>275</v>
      </c>
      <c r="C95" s="8">
        <v>166135.12</v>
      </c>
      <c r="D95" s="8">
        <v>12278.37</v>
      </c>
      <c r="E95" s="9">
        <v>7.3905926693886306E-2</v>
      </c>
      <c r="F95" s="10" t="s">
        <v>17</v>
      </c>
      <c r="G95" s="10" t="s">
        <v>17</v>
      </c>
    </row>
    <row r="96" spans="1:7" x14ac:dyDescent="0.25">
      <c r="A96" s="6" t="s">
        <v>112</v>
      </c>
      <c r="B96" s="7" t="s">
        <v>240</v>
      </c>
      <c r="C96" s="8">
        <v>158236.57</v>
      </c>
      <c r="D96" s="8">
        <v>12008.09</v>
      </c>
      <c r="E96" s="9">
        <v>7.58869457294227E-2</v>
      </c>
      <c r="F96" s="10" t="s">
        <v>17</v>
      </c>
      <c r="G96" s="10" t="s">
        <v>17</v>
      </c>
    </row>
    <row r="97" spans="1:7" x14ac:dyDescent="0.25">
      <c r="A97" s="6" t="s">
        <v>113</v>
      </c>
      <c r="B97" s="7" t="s">
        <v>276</v>
      </c>
      <c r="C97" s="8">
        <v>151644.79</v>
      </c>
      <c r="D97" s="8">
        <v>25493.48</v>
      </c>
      <c r="E97" s="9">
        <v>0.16811312805405301</v>
      </c>
      <c r="F97" s="10" t="s">
        <v>17</v>
      </c>
      <c r="G97" s="10" t="s">
        <v>17</v>
      </c>
    </row>
    <row r="98" spans="1:7" x14ac:dyDescent="0.25">
      <c r="A98" s="6" t="s">
        <v>114</v>
      </c>
      <c r="B98" s="7" t="s">
        <v>243</v>
      </c>
      <c r="C98" s="8">
        <v>147781.82999999999</v>
      </c>
      <c r="D98" s="8">
        <v>13830.65</v>
      </c>
      <c r="E98" s="9">
        <v>9.3588298371998793E-2</v>
      </c>
      <c r="F98" s="10" t="s">
        <v>17</v>
      </c>
      <c r="G98" s="10" t="s">
        <v>17</v>
      </c>
    </row>
    <row r="99" spans="1:7" x14ac:dyDescent="0.25">
      <c r="A99" s="6" t="s">
        <v>115</v>
      </c>
      <c r="B99" s="7" t="s">
        <v>241</v>
      </c>
      <c r="C99" s="8">
        <v>143240.56</v>
      </c>
      <c r="D99" s="8">
        <v>15694.73</v>
      </c>
      <c r="E99" s="9">
        <v>0.10956903547431</v>
      </c>
      <c r="F99" s="10" t="s">
        <v>16</v>
      </c>
      <c r="G99" s="11">
        <f>(D99 / F99)</f>
        <v>43.840027932960894</v>
      </c>
    </row>
    <row r="100" spans="1:7" x14ac:dyDescent="0.25">
      <c r="A100" s="6" t="s">
        <v>116</v>
      </c>
      <c r="B100" s="7" t="s">
        <v>244</v>
      </c>
      <c r="C100" s="8">
        <v>139130.59</v>
      </c>
      <c r="D100" s="8">
        <v>6122.88</v>
      </c>
      <c r="E100" s="9">
        <v>4.4008150903406699E-2</v>
      </c>
      <c r="F100" s="10" t="s">
        <v>17</v>
      </c>
      <c r="G100" s="10" t="s">
        <v>17</v>
      </c>
    </row>
    <row r="101" spans="1:7" x14ac:dyDescent="0.25">
      <c r="A101" s="6" t="s">
        <v>117</v>
      </c>
      <c r="B101" s="7" t="s">
        <v>242</v>
      </c>
      <c r="C101" s="8">
        <v>132710.07999999999</v>
      </c>
      <c r="D101" s="8">
        <v>48020.12</v>
      </c>
      <c r="E101" s="9">
        <v>0.36184229562667702</v>
      </c>
      <c r="F101" s="10" t="s">
        <v>17</v>
      </c>
      <c r="G101" s="10" t="s">
        <v>17</v>
      </c>
    </row>
    <row r="102" spans="1:7" x14ac:dyDescent="0.25">
      <c r="A102" s="6" t="s">
        <v>118</v>
      </c>
      <c r="B102" s="7" t="s">
        <v>246</v>
      </c>
      <c r="C102" s="8">
        <v>130598.52</v>
      </c>
      <c r="D102" s="8">
        <v>10925.61</v>
      </c>
      <c r="E102" s="9">
        <v>8.3657992448919E-2</v>
      </c>
      <c r="F102" s="10" t="s">
        <v>17</v>
      </c>
      <c r="G102" s="10" t="s">
        <v>17</v>
      </c>
    </row>
    <row r="103" spans="1:7" x14ac:dyDescent="0.25">
      <c r="A103" s="6" t="s">
        <v>119</v>
      </c>
      <c r="B103" s="7" t="s">
        <v>306</v>
      </c>
      <c r="C103" s="8">
        <v>124958.39999999999</v>
      </c>
      <c r="D103" s="8">
        <v>12868.18</v>
      </c>
      <c r="E103" s="9">
        <v>0.102979711648036</v>
      </c>
      <c r="F103" s="10" t="s">
        <v>17</v>
      </c>
      <c r="G103" s="10" t="s">
        <v>17</v>
      </c>
    </row>
    <row r="104" spans="1:7" x14ac:dyDescent="0.25">
      <c r="A104" s="6" t="s">
        <v>120</v>
      </c>
      <c r="B104" s="7" t="s">
        <v>245</v>
      </c>
      <c r="C104" s="8">
        <v>124558.17</v>
      </c>
      <c r="D104" s="8">
        <v>8259.73</v>
      </c>
      <c r="E104" s="9">
        <v>6.6312229860152894E-2</v>
      </c>
      <c r="F104" s="10" t="s">
        <v>17</v>
      </c>
      <c r="G104" s="10" t="s">
        <v>17</v>
      </c>
    </row>
    <row r="105" spans="1:7" x14ac:dyDescent="0.25">
      <c r="A105" s="6" t="s">
        <v>121</v>
      </c>
      <c r="B105" s="7" t="s">
        <v>247</v>
      </c>
      <c r="C105" s="8">
        <v>123407.02</v>
      </c>
      <c r="D105" s="8">
        <v>20311.169999999998</v>
      </c>
      <c r="E105" s="9">
        <v>0.16458682820474901</v>
      </c>
      <c r="F105" s="10" t="s">
        <v>17</v>
      </c>
      <c r="G105" s="10" t="s">
        <v>17</v>
      </c>
    </row>
    <row r="106" spans="1:7" x14ac:dyDescent="0.25">
      <c r="A106" s="6" t="s">
        <v>122</v>
      </c>
      <c r="B106" s="7" t="s">
        <v>248</v>
      </c>
      <c r="C106" s="8">
        <v>109267.02</v>
      </c>
      <c r="D106" s="8">
        <v>10871.13</v>
      </c>
      <c r="E106" s="9">
        <v>9.9491411040586605E-2</v>
      </c>
      <c r="F106" s="10" t="s">
        <v>17</v>
      </c>
      <c r="G106" s="10" t="s">
        <v>17</v>
      </c>
    </row>
    <row r="107" spans="1:7" x14ac:dyDescent="0.25">
      <c r="A107" s="6" t="s">
        <v>123</v>
      </c>
      <c r="B107" s="7" t="s">
        <v>295</v>
      </c>
      <c r="C107" s="8">
        <v>109174.47</v>
      </c>
      <c r="D107" s="8">
        <v>9586.65</v>
      </c>
      <c r="E107" s="9">
        <v>8.7810364456085796E-2</v>
      </c>
      <c r="F107" s="10" t="s">
        <v>17</v>
      </c>
      <c r="G107" s="10" t="s">
        <v>17</v>
      </c>
    </row>
    <row r="108" spans="1:7" x14ac:dyDescent="0.25">
      <c r="A108" s="6" t="s">
        <v>124</v>
      </c>
      <c r="B108" s="7" t="s">
        <v>249</v>
      </c>
      <c r="C108" s="8">
        <v>100025.42</v>
      </c>
      <c r="D108" s="8">
        <v>16775.45</v>
      </c>
      <c r="E108" s="9">
        <v>0.167711867643245</v>
      </c>
      <c r="F108" s="10" t="s">
        <v>17</v>
      </c>
      <c r="G108" s="10" t="s">
        <v>17</v>
      </c>
    </row>
    <row r="109" spans="1:7" x14ac:dyDescent="0.25">
      <c r="A109" s="6" t="s">
        <v>125</v>
      </c>
      <c r="B109" s="7" t="s">
        <v>309</v>
      </c>
      <c r="C109" s="8">
        <v>94081.01</v>
      </c>
      <c r="D109" s="8">
        <v>19193.3</v>
      </c>
      <c r="E109" s="9">
        <v>0.20400822652733</v>
      </c>
      <c r="F109" s="10" t="s">
        <v>17</v>
      </c>
      <c r="G109" s="10" t="s">
        <v>17</v>
      </c>
    </row>
    <row r="110" spans="1:7" x14ac:dyDescent="0.25">
      <c r="A110" s="6" t="s">
        <v>126</v>
      </c>
      <c r="B110" s="7" t="s">
        <v>317</v>
      </c>
      <c r="C110" s="8">
        <v>86973.43</v>
      </c>
      <c r="D110" s="8">
        <v>596.53</v>
      </c>
      <c r="E110" s="9">
        <v>6.8587613481496598E-3</v>
      </c>
      <c r="F110" s="10" t="s">
        <v>17</v>
      </c>
      <c r="G110" s="10" t="s">
        <v>17</v>
      </c>
    </row>
    <row r="111" spans="1:7" x14ac:dyDescent="0.25">
      <c r="A111" s="6" t="s">
        <v>127</v>
      </c>
      <c r="B111" s="7" t="s">
        <v>253</v>
      </c>
      <c r="C111" s="8">
        <v>81796.98</v>
      </c>
      <c r="D111" s="8">
        <v>5971.3</v>
      </c>
      <c r="E111" s="9">
        <v>7.3001472670506898E-2</v>
      </c>
      <c r="F111" s="10" t="s">
        <v>17</v>
      </c>
      <c r="G111" s="10" t="s">
        <v>17</v>
      </c>
    </row>
    <row r="112" spans="1:7" x14ac:dyDescent="0.25">
      <c r="A112" s="6" t="s">
        <v>128</v>
      </c>
      <c r="B112" s="7" t="s">
        <v>230</v>
      </c>
      <c r="C112" s="8">
        <v>72163.16</v>
      </c>
      <c r="D112" s="8">
        <v>8472.31</v>
      </c>
      <c r="E112" s="9">
        <v>0.117404919629351</v>
      </c>
      <c r="F112" s="10" t="s">
        <v>17</v>
      </c>
      <c r="G112" s="10" t="s">
        <v>17</v>
      </c>
    </row>
    <row r="113" spans="1:7" x14ac:dyDescent="0.25">
      <c r="A113" s="6" t="s">
        <v>129</v>
      </c>
      <c r="B113" s="7" t="s">
        <v>333</v>
      </c>
      <c r="C113" s="8">
        <v>71016.17</v>
      </c>
      <c r="D113" s="8">
        <v>51931.29</v>
      </c>
      <c r="E113" s="9">
        <v>0.73126007781044799</v>
      </c>
      <c r="F113" s="10" t="s">
        <v>17</v>
      </c>
      <c r="G113" s="10" t="s">
        <v>17</v>
      </c>
    </row>
    <row r="114" spans="1:7" x14ac:dyDescent="0.25">
      <c r="A114" s="6" t="s">
        <v>130</v>
      </c>
      <c r="B114" s="7" t="s">
        <v>321</v>
      </c>
      <c r="C114" s="8">
        <v>70330.47</v>
      </c>
      <c r="D114" s="8">
        <v>34346.6</v>
      </c>
      <c r="E114" s="9">
        <v>0.48836016594230103</v>
      </c>
      <c r="F114" s="10" t="s">
        <v>17</v>
      </c>
      <c r="G114" s="10" t="s">
        <v>17</v>
      </c>
    </row>
    <row r="115" spans="1:7" x14ac:dyDescent="0.25">
      <c r="A115" s="6" t="s">
        <v>131</v>
      </c>
      <c r="B115" s="7" t="s">
        <v>255</v>
      </c>
      <c r="C115" s="8">
        <v>69464.320000000007</v>
      </c>
      <c r="D115" s="8">
        <v>464.3</v>
      </c>
      <c r="E115" s="9">
        <v>6.6840069837291998E-3</v>
      </c>
      <c r="F115" s="10" t="s">
        <v>17</v>
      </c>
      <c r="G115" s="10" t="s">
        <v>17</v>
      </c>
    </row>
    <row r="116" spans="1:7" x14ac:dyDescent="0.25">
      <c r="A116" s="6" t="s">
        <v>132</v>
      </c>
      <c r="B116" s="7" t="s">
        <v>256</v>
      </c>
      <c r="C116" s="8">
        <v>69364.45</v>
      </c>
      <c r="D116" s="8">
        <v>3880.25</v>
      </c>
      <c r="E116" s="9">
        <v>5.5940038449090297E-2</v>
      </c>
      <c r="F116" s="10" t="s">
        <v>17</v>
      </c>
      <c r="G116" s="10" t="s">
        <v>17</v>
      </c>
    </row>
    <row r="117" spans="1:7" x14ac:dyDescent="0.25">
      <c r="A117" s="6" t="s">
        <v>133</v>
      </c>
      <c r="B117" s="7" t="s">
        <v>258</v>
      </c>
      <c r="C117" s="8">
        <v>64350.49</v>
      </c>
      <c r="D117" s="8">
        <v>1437.29</v>
      </c>
      <c r="E117" s="9">
        <v>2.2335338860667599E-2</v>
      </c>
      <c r="F117" s="10" t="s">
        <v>17</v>
      </c>
      <c r="G117" s="10" t="s">
        <v>17</v>
      </c>
    </row>
    <row r="118" spans="1:7" x14ac:dyDescent="0.25">
      <c r="A118" s="6" t="s">
        <v>134</v>
      </c>
      <c r="B118" s="7" t="s">
        <v>257</v>
      </c>
      <c r="C118" s="8">
        <v>54769.2</v>
      </c>
      <c r="D118" s="8">
        <v>1553.67</v>
      </c>
      <c r="E118" s="9">
        <v>2.83675861615653E-2</v>
      </c>
      <c r="F118" s="10" t="s">
        <v>17</v>
      </c>
      <c r="G118" s="10" t="s">
        <v>17</v>
      </c>
    </row>
    <row r="119" spans="1:7" x14ac:dyDescent="0.25">
      <c r="A119" s="6" t="s">
        <v>135</v>
      </c>
      <c r="B119" s="7" t="s">
        <v>259</v>
      </c>
      <c r="C119" s="8">
        <v>52705.8</v>
      </c>
      <c r="D119" s="8">
        <v>3552.29</v>
      </c>
      <c r="E119" s="9">
        <v>6.7398464685101106E-2</v>
      </c>
      <c r="F119" s="10" t="s">
        <v>17</v>
      </c>
      <c r="G119" s="10" t="s">
        <v>17</v>
      </c>
    </row>
    <row r="120" spans="1:7" x14ac:dyDescent="0.25">
      <c r="A120" s="6" t="s">
        <v>136</v>
      </c>
      <c r="B120" s="7" t="s">
        <v>291</v>
      </c>
      <c r="C120" s="8">
        <v>48386.02</v>
      </c>
      <c r="D120" s="8">
        <v>11299.55</v>
      </c>
      <c r="E120" s="9">
        <v>0.233529230137135</v>
      </c>
      <c r="F120" s="10" t="s">
        <v>17</v>
      </c>
      <c r="G120" s="10" t="s">
        <v>17</v>
      </c>
    </row>
    <row r="121" spans="1:7" x14ac:dyDescent="0.25">
      <c r="A121" s="6" t="s">
        <v>137</v>
      </c>
      <c r="B121" s="7" t="s">
        <v>262</v>
      </c>
      <c r="C121" s="8">
        <v>48259.72</v>
      </c>
      <c r="D121" s="8">
        <v>8853.67</v>
      </c>
      <c r="E121" s="9">
        <v>0.18345879337882601</v>
      </c>
      <c r="F121" s="10" t="s">
        <v>17</v>
      </c>
      <c r="G121" s="10" t="s">
        <v>17</v>
      </c>
    </row>
    <row r="122" spans="1:7" x14ac:dyDescent="0.25">
      <c r="A122" s="6" t="s">
        <v>138</v>
      </c>
      <c r="B122" s="7" t="s">
        <v>283</v>
      </c>
      <c r="C122" s="8">
        <v>40247.550000000003</v>
      </c>
      <c r="D122" s="8">
        <v>509.96</v>
      </c>
      <c r="E122" s="9">
        <v>1.26705849175913E-2</v>
      </c>
      <c r="F122" s="10" t="s">
        <v>17</v>
      </c>
      <c r="G122" s="10" t="s">
        <v>17</v>
      </c>
    </row>
    <row r="123" spans="1:7" x14ac:dyDescent="0.25">
      <c r="A123" s="6" t="s">
        <v>139</v>
      </c>
      <c r="B123" s="7" t="s">
        <v>260</v>
      </c>
      <c r="C123" s="8">
        <v>40022.959999999999</v>
      </c>
      <c r="D123" s="8">
        <v>345.25</v>
      </c>
      <c r="E123" s="9">
        <v>8.62629850465833E-3</v>
      </c>
      <c r="F123" s="10" t="s">
        <v>17</v>
      </c>
      <c r="G123" s="10" t="s">
        <v>17</v>
      </c>
    </row>
    <row r="124" spans="1:7" x14ac:dyDescent="0.25">
      <c r="A124" s="6" t="s">
        <v>140</v>
      </c>
      <c r="B124" s="7" t="s">
        <v>310</v>
      </c>
      <c r="C124" s="8">
        <v>39431.39</v>
      </c>
      <c r="D124" s="8">
        <v>6194.32</v>
      </c>
      <c r="E124" s="9">
        <v>0.15709108910439101</v>
      </c>
      <c r="F124" s="10" t="s">
        <v>17</v>
      </c>
      <c r="G124" s="10" t="s">
        <v>17</v>
      </c>
    </row>
    <row r="125" spans="1:7" x14ac:dyDescent="0.25">
      <c r="A125" s="6" t="s">
        <v>141</v>
      </c>
      <c r="B125" s="7" t="s">
        <v>263</v>
      </c>
      <c r="C125" s="8">
        <v>36730.910000000003</v>
      </c>
      <c r="D125" s="8">
        <v>990.23</v>
      </c>
      <c r="E125" s="9">
        <v>2.69590380418019E-2</v>
      </c>
      <c r="F125" s="10" t="s">
        <v>17</v>
      </c>
      <c r="G125" s="10" t="s">
        <v>17</v>
      </c>
    </row>
    <row r="126" spans="1:7" x14ac:dyDescent="0.25">
      <c r="A126" s="6" t="s">
        <v>142</v>
      </c>
      <c r="B126" s="7" t="s">
        <v>251</v>
      </c>
      <c r="C126" s="8">
        <v>36163.81</v>
      </c>
      <c r="D126" s="8">
        <v>1935.64</v>
      </c>
      <c r="E126" s="9">
        <v>5.352422767402E-2</v>
      </c>
      <c r="F126" s="10" t="s">
        <v>17</v>
      </c>
      <c r="G126" s="10" t="s">
        <v>17</v>
      </c>
    </row>
    <row r="127" spans="1:7" x14ac:dyDescent="0.25">
      <c r="A127" s="6" t="s">
        <v>143</v>
      </c>
      <c r="B127" s="7" t="s">
        <v>266</v>
      </c>
      <c r="C127" s="8">
        <v>33356.050000000003</v>
      </c>
      <c r="D127" s="8">
        <v>12397.77</v>
      </c>
      <c r="E127" s="9">
        <v>0.37167980021615299</v>
      </c>
      <c r="F127" s="10" t="s">
        <v>17</v>
      </c>
      <c r="G127" s="10" t="s">
        <v>17</v>
      </c>
    </row>
    <row r="128" spans="1:7" x14ac:dyDescent="0.25">
      <c r="A128" s="6" t="s">
        <v>144</v>
      </c>
      <c r="B128" s="7" t="s">
        <v>311</v>
      </c>
      <c r="C128" s="8">
        <v>32441.39</v>
      </c>
      <c r="D128" s="8">
        <v>152.47999999999999</v>
      </c>
      <c r="E128" s="9">
        <v>4.7001685192897104E-3</v>
      </c>
      <c r="F128" s="10" t="s">
        <v>17</v>
      </c>
      <c r="G128" s="10" t="s">
        <v>17</v>
      </c>
    </row>
    <row r="129" spans="1:7" x14ac:dyDescent="0.25">
      <c r="A129" s="6" t="s">
        <v>145</v>
      </c>
      <c r="B129" s="7" t="s">
        <v>265</v>
      </c>
      <c r="C129" s="8">
        <v>30815.73</v>
      </c>
      <c r="D129" s="8">
        <v>5839.28</v>
      </c>
      <c r="E129" s="9">
        <v>0.189490237615659</v>
      </c>
      <c r="F129" s="10" t="s">
        <v>17</v>
      </c>
      <c r="G129" s="10" t="s">
        <v>17</v>
      </c>
    </row>
    <row r="130" spans="1:7" x14ac:dyDescent="0.25">
      <c r="A130" s="6" t="s">
        <v>146</v>
      </c>
      <c r="B130" s="7" t="s">
        <v>264</v>
      </c>
      <c r="C130" s="8">
        <v>30198.34</v>
      </c>
      <c r="D130" s="8">
        <v>2289.81</v>
      </c>
      <c r="E130" s="9">
        <v>7.5825691081032903E-2</v>
      </c>
      <c r="F130" s="10" t="s">
        <v>17</v>
      </c>
      <c r="G130" s="10" t="s">
        <v>17</v>
      </c>
    </row>
    <row r="131" spans="1:7" x14ac:dyDescent="0.25">
      <c r="A131" s="6" t="s">
        <v>147</v>
      </c>
      <c r="B131" s="7" t="s">
        <v>267</v>
      </c>
      <c r="C131" s="8">
        <v>17120.080000000002</v>
      </c>
      <c r="D131" s="8">
        <v>1233.5999999999999</v>
      </c>
      <c r="E131" s="9">
        <v>7.2055738057298799E-2</v>
      </c>
      <c r="F131" s="10" t="s">
        <v>17</v>
      </c>
      <c r="G131" s="10" t="s">
        <v>17</v>
      </c>
    </row>
    <row r="132" spans="1:7" x14ac:dyDescent="0.25">
      <c r="A132" s="6" t="s">
        <v>148</v>
      </c>
      <c r="B132" s="7" t="s">
        <v>268</v>
      </c>
      <c r="C132" s="8">
        <v>16430.75</v>
      </c>
      <c r="D132" s="8">
        <v>870.29</v>
      </c>
      <c r="E132" s="9">
        <v>5.2967150008368498E-2</v>
      </c>
      <c r="F132" s="10" t="s">
        <v>17</v>
      </c>
      <c r="G132" s="10" t="s">
        <v>17</v>
      </c>
    </row>
    <row r="133" spans="1:7" x14ac:dyDescent="0.25">
      <c r="A133" s="6" t="s">
        <v>149</v>
      </c>
      <c r="B133" s="7" t="s">
        <v>270</v>
      </c>
      <c r="C133" s="8">
        <v>14472.89</v>
      </c>
      <c r="D133" s="8">
        <v>137.25</v>
      </c>
      <c r="E133" s="9">
        <v>9.4832476443889192E-3</v>
      </c>
      <c r="F133" s="10" t="s">
        <v>17</v>
      </c>
      <c r="G133" s="10" t="s">
        <v>17</v>
      </c>
    </row>
    <row r="134" spans="1:7" x14ac:dyDescent="0.25">
      <c r="A134" s="6" t="s">
        <v>150</v>
      </c>
      <c r="B134" s="7" t="s">
        <v>269</v>
      </c>
      <c r="C134" s="8">
        <v>13864.03</v>
      </c>
      <c r="D134" s="8">
        <v>-1855.17</v>
      </c>
      <c r="E134" s="9">
        <v>-0.13381174160759901</v>
      </c>
      <c r="F134" s="10" t="s">
        <v>17</v>
      </c>
      <c r="G134" s="10" t="s">
        <v>17</v>
      </c>
    </row>
    <row r="135" spans="1:7" x14ac:dyDescent="0.25">
      <c r="A135" s="6" t="s">
        <v>151</v>
      </c>
      <c r="B135" s="7" t="s">
        <v>277</v>
      </c>
      <c r="C135" s="8">
        <v>12987.73</v>
      </c>
      <c r="D135" s="8">
        <v>3345.19</v>
      </c>
      <c r="E135" s="9">
        <v>0.257565409813724</v>
      </c>
      <c r="F135" s="10" t="s">
        <v>17</v>
      </c>
      <c r="G135" s="10" t="s">
        <v>17</v>
      </c>
    </row>
    <row r="136" spans="1:7" x14ac:dyDescent="0.25">
      <c r="A136" s="6" t="s">
        <v>152</v>
      </c>
      <c r="B136" s="7" t="s">
        <v>286</v>
      </c>
      <c r="C136" s="8">
        <v>7419.97</v>
      </c>
      <c r="D136" s="8">
        <v>81.739999999999995</v>
      </c>
      <c r="E136" s="9">
        <v>1.10162170466997E-2</v>
      </c>
      <c r="F136" s="10" t="s">
        <v>17</v>
      </c>
      <c r="G136" s="10" t="s">
        <v>17</v>
      </c>
    </row>
    <row r="137" spans="1:7" x14ac:dyDescent="0.25">
      <c r="A137" s="6" t="s">
        <v>153</v>
      </c>
      <c r="B137" s="7" t="s">
        <v>322</v>
      </c>
      <c r="C137" s="8">
        <v>3669.37</v>
      </c>
      <c r="D137" s="8">
        <v>37.25</v>
      </c>
      <c r="E137" s="9">
        <v>1.0151606406549401E-2</v>
      </c>
      <c r="F137" s="10" t="s">
        <v>17</v>
      </c>
      <c r="G137" s="10" t="s">
        <v>17</v>
      </c>
    </row>
    <row r="138" spans="1:7" x14ac:dyDescent="0.25">
      <c r="A138" s="6" t="s">
        <v>154</v>
      </c>
      <c r="B138" s="7" t="s">
        <v>312</v>
      </c>
      <c r="C138" s="8">
        <v>2428.92</v>
      </c>
      <c r="D138" s="8">
        <v>55.2</v>
      </c>
      <c r="E138" s="9">
        <v>2.2726149893779999E-2</v>
      </c>
      <c r="F138" s="10" t="s">
        <v>17</v>
      </c>
      <c r="G138" s="10" t="s">
        <v>17</v>
      </c>
    </row>
    <row r="139" spans="1:7" x14ac:dyDescent="0.25">
      <c r="A139" s="6" t="s">
        <v>155</v>
      </c>
      <c r="B139" s="7" t="s">
        <v>313</v>
      </c>
      <c r="C139" s="8">
        <v>1902.71</v>
      </c>
      <c r="D139" s="8">
        <v>343.65</v>
      </c>
      <c r="E139" s="9">
        <v>0.18061081299830201</v>
      </c>
      <c r="F139" s="10" t="s">
        <v>17</v>
      </c>
      <c r="G139" s="10" t="s">
        <v>17</v>
      </c>
    </row>
    <row r="140" spans="1:7" x14ac:dyDescent="0.25">
      <c r="A140" s="6" t="s">
        <v>156</v>
      </c>
      <c r="B140" s="7" t="s">
        <v>323</v>
      </c>
      <c r="C140" s="8">
        <v>1000.03</v>
      </c>
      <c r="D140" s="8">
        <v>1000.03</v>
      </c>
      <c r="E140" s="9">
        <v>1</v>
      </c>
      <c r="F140" s="10" t="s">
        <v>17</v>
      </c>
      <c r="G140" s="10" t="s">
        <v>17</v>
      </c>
    </row>
    <row r="141" spans="1:7" x14ac:dyDescent="0.25">
      <c r="A141" s="6" t="s">
        <v>328</v>
      </c>
      <c r="B141" s="7" t="s">
        <v>324</v>
      </c>
      <c r="C141" s="8">
        <v>472.2</v>
      </c>
      <c r="D141" s="8">
        <v>81.819999999999993</v>
      </c>
      <c r="E141" s="9">
        <v>0.173274036425244</v>
      </c>
      <c r="F141" s="10" t="s">
        <v>17</v>
      </c>
      <c r="G141" s="10" t="s">
        <v>17</v>
      </c>
    </row>
    <row r="142" spans="1:7" x14ac:dyDescent="0.25">
      <c r="A142" s="6" t="s">
        <v>330</v>
      </c>
      <c r="B142" s="7" t="s">
        <v>318</v>
      </c>
      <c r="C142" s="8">
        <v>299.95</v>
      </c>
      <c r="D142" s="8">
        <v>299.95</v>
      </c>
      <c r="E142" s="9">
        <v>1</v>
      </c>
      <c r="F142" s="10" t="s">
        <v>17</v>
      </c>
      <c r="G142" s="10" t="s">
        <v>17</v>
      </c>
    </row>
    <row r="143" spans="1:7" x14ac:dyDescent="0.25">
      <c r="A143" s="6" t="s">
        <v>332</v>
      </c>
      <c r="B143" s="7" t="s">
        <v>319</v>
      </c>
      <c r="C143" s="8">
        <v>0</v>
      </c>
      <c r="D143" s="8">
        <v>0</v>
      </c>
      <c r="E143" s="9">
        <v>0</v>
      </c>
      <c r="F143" s="10" t="s">
        <v>17</v>
      </c>
      <c r="G143" s="10" t="s">
        <v>17</v>
      </c>
    </row>
    <row r="144" spans="1:7" x14ac:dyDescent="0.25">
      <c r="C144" s="8"/>
      <c r="D144" s="8"/>
      <c r="E144" s="9"/>
    </row>
    <row r="145" spans="1:7" x14ac:dyDescent="0.25">
      <c r="C145" s="8"/>
      <c r="D145" s="8"/>
      <c r="E145" s="9"/>
    </row>
    <row r="146" spans="1:7" x14ac:dyDescent="0.25">
      <c r="C146" s="8"/>
      <c r="D146" s="8"/>
      <c r="E146" s="9"/>
    </row>
    <row r="147" spans="1:7" x14ac:dyDescent="0.25">
      <c r="C147" s="8"/>
      <c r="D147" s="8" t="s">
        <v>298</v>
      </c>
      <c r="E147" s="9"/>
    </row>
    <row r="148" spans="1:7" ht="31.5" x14ac:dyDescent="0.25">
      <c r="A148" s="18"/>
      <c r="B148" s="19" t="s">
        <v>157</v>
      </c>
      <c r="C148" s="3" t="s">
        <v>158</v>
      </c>
      <c r="D148" s="3" t="s">
        <v>159</v>
      </c>
      <c r="E148" s="4" t="s">
        <v>160</v>
      </c>
      <c r="F148" s="5" t="s">
        <v>161</v>
      </c>
      <c r="G148" s="5" t="s">
        <v>162</v>
      </c>
    </row>
    <row r="149" spans="1:7" x14ac:dyDescent="0.25">
      <c r="A149" s="6" t="s">
        <v>18</v>
      </c>
      <c r="B149" s="7" t="s">
        <v>315</v>
      </c>
      <c r="C149" s="8">
        <v>3000403.65</v>
      </c>
      <c r="D149" s="8">
        <v>3000403.65</v>
      </c>
      <c r="E149" s="9">
        <v>1</v>
      </c>
      <c r="F149" s="10" t="s">
        <v>17</v>
      </c>
      <c r="G149" s="10" t="s">
        <v>17</v>
      </c>
    </row>
    <row r="150" spans="1:7" x14ac:dyDescent="0.25">
      <c r="A150" s="6" t="s">
        <v>19</v>
      </c>
      <c r="B150" s="7" t="s">
        <v>183</v>
      </c>
      <c r="C150" s="8">
        <v>1259198.1599999999</v>
      </c>
      <c r="D150" s="8">
        <v>203307.38</v>
      </c>
      <c r="E150" s="9">
        <v>0.16145781216834099</v>
      </c>
      <c r="F150" s="10" t="s">
        <v>17</v>
      </c>
      <c r="G150" s="10" t="s">
        <v>17</v>
      </c>
    </row>
    <row r="151" spans="1:7" x14ac:dyDescent="0.25">
      <c r="A151" s="6" t="s">
        <v>20</v>
      </c>
      <c r="B151" s="7" t="s">
        <v>165</v>
      </c>
      <c r="C151" s="8">
        <v>1126889.96</v>
      </c>
      <c r="D151" s="8">
        <v>1117505.5</v>
      </c>
      <c r="E151" s="9">
        <v>0.99167224810486398</v>
      </c>
      <c r="F151" s="10" t="s">
        <v>17</v>
      </c>
      <c r="G151" s="10" t="s">
        <v>17</v>
      </c>
    </row>
    <row r="152" spans="1:7" x14ac:dyDescent="0.25">
      <c r="A152" s="6" t="s">
        <v>21</v>
      </c>
      <c r="B152" s="7" t="s">
        <v>244</v>
      </c>
      <c r="C152" s="8">
        <v>922470.25</v>
      </c>
      <c r="D152" s="8">
        <v>751.16</v>
      </c>
      <c r="E152" s="9">
        <v>8.1429184301607597E-4</v>
      </c>
      <c r="F152" s="10" t="s">
        <v>17</v>
      </c>
      <c r="G152" s="10" t="s">
        <v>17</v>
      </c>
    </row>
    <row r="153" spans="1:7" x14ac:dyDescent="0.25">
      <c r="A153" s="6" t="s">
        <v>22</v>
      </c>
      <c r="B153" s="7" t="s">
        <v>278</v>
      </c>
      <c r="C153" s="8">
        <v>685732.53</v>
      </c>
      <c r="D153" s="8">
        <v>292172.44</v>
      </c>
      <c r="E153" s="9">
        <v>0.42607347211601598</v>
      </c>
      <c r="F153" s="10" t="s">
        <v>17</v>
      </c>
      <c r="G153" s="10" t="s">
        <v>17</v>
      </c>
    </row>
    <row r="154" spans="1:7" x14ac:dyDescent="0.25">
      <c r="A154" s="6" t="s">
        <v>23</v>
      </c>
      <c r="B154" s="7" t="s">
        <v>325</v>
      </c>
      <c r="C154" s="8">
        <v>589926.85</v>
      </c>
      <c r="D154" s="8">
        <v>589926.85</v>
      </c>
      <c r="E154" s="9">
        <v>1</v>
      </c>
      <c r="F154" s="10" t="s">
        <v>17</v>
      </c>
      <c r="G154" s="10" t="s">
        <v>17</v>
      </c>
    </row>
    <row r="155" spans="1:7" x14ac:dyDescent="0.25">
      <c r="A155" s="6" t="s">
        <v>24</v>
      </c>
      <c r="B155" s="7" t="s">
        <v>182</v>
      </c>
      <c r="C155" s="8">
        <v>516677.38</v>
      </c>
      <c r="D155" s="8">
        <v>516677.38</v>
      </c>
      <c r="E155" s="9">
        <v>1</v>
      </c>
      <c r="F155" s="10" t="s">
        <v>17</v>
      </c>
      <c r="G155" s="10" t="s">
        <v>17</v>
      </c>
    </row>
    <row r="156" spans="1:7" x14ac:dyDescent="0.25">
      <c r="A156" s="6" t="s">
        <v>25</v>
      </c>
      <c r="B156" s="7" t="s">
        <v>189</v>
      </c>
      <c r="C156" s="8">
        <v>298546.8</v>
      </c>
      <c r="D156" s="8">
        <v>298546.8</v>
      </c>
      <c r="E156" s="9">
        <v>1</v>
      </c>
      <c r="F156" s="10" t="s">
        <v>17</v>
      </c>
      <c r="G156" s="10" t="s">
        <v>17</v>
      </c>
    </row>
    <row r="157" spans="1:7" x14ac:dyDescent="0.25">
      <c r="A157" s="6" t="s">
        <v>26</v>
      </c>
      <c r="B157" s="7" t="s">
        <v>173</v>
      </c>
      <c r="C157" s="8">
        <v>207040.34</v>
      </c>
      <c r="D157" s="8">
        <v>28542.28</v>
      </c>
      <c r="E157" s="9">
        <v>0.13785854486135399</v>
      </c>
      <c r="F157" s="10" t="s">
        <v>17</v>
      </c>
      <c r="G157" s="10" t="s">
        <v>17</v>
      </c>
    </row>
    <row r="158" spans="1:7" x14ac:dyDescent="0.25">
      <c r="A158" s="6" t="s">
        <v>27</v>
      </c>
      <c r="B158" s="7" t="s">
        <v>205</v>
      </c>
      <c r="C158" s="8">
        <v>203966.34</v>
      </c>
      <c r="D158" s="8">
        <v>23302.01</v>
      </c>
      <c r="E158" s="9">
        <v>0.11424438953996</v>
      </c>
      <c r="F158" s="10" t="s">
        <v>17</v>
      </c>
      <c r="G158" s="10" t="s">
        <v>17</v>
      </c>
    </row>
    <row r="159" spans="1:7" x14ac:dyDescent="0.25">
      <c r="A159" s="6" t="s">
        <v>28</v>
      </c>
      <c r="B159" s="7" t="s">
        <v>186</v>
      </c>
      <c r="C159" s="8">
        <v>202259.31</v>
      </c>
      <c r="D159" s="8">
        <v>202259.31</v>
      </c>
      <c r="E159" s="9">
        <v>1</v>
      </c>
      <c r="F159" s="10" t="s">
        <v>17</v>
      </c>
      <c r="G159" s="10" t="s">
        <v>17</v>
      </c>
    </row>
    <row r="160" spans="1:7" x14ac:dyDescent="0.25">
      <c r="A160" s="6" t="s">
        <v>29</v>
      </c>
      <c r="B160" s="7" t="s">
        <v>280</v>
      </c>
      <c r="C160" s="8">
        <v>185926.44</v>
      </c>
      <c r="D160" s="8">
        <v>887.74</v>
      </c>
      <c r="E160" s="9">
        <v>4.7746840094394297E-3</v>
      </c>
      <c r="F160" s="10" t="s">
        <v>17</v>
      </c>
      <c r="G160" s="10" t="s">
        <v>17</v>
      </c>
    </row>
    <row r="161" spans="1:7" x14ac:dyDescent="0.25">
      <c r="A161" s="6" t="s">
        <v>30</v>
      </c>
      <c r="B161" s="7" t="s">
        <v>195</v>
      </c>
      <c r="C161" s="8">
        <v>168980.2</v>
      </c>
      <c r="D161" s="8">
        <v>70930.44</v>
      </c>
      <c r="E161" s="9">
        <v>0.41975592406684298</v>
      </c>
      <c r="F161" s="10" t="s">
        <v>17</v>
      </c>
      <c r="G161" s="10" t="s">
        <v>17</v>
      </c>
    </row>
    <row r="162" spans="1:7" x14ac:dyDescent="0.25">
      <c r="A162" s="6" t="s">
        <v>31</v>
      </c>
      <c r="B162" s="7" t="s">
        <v>180</v>
      </c>
      <c r="C162" s="8">
        <v>157984.88</v>
      </c>
      <c r="D162" s="8">
        <v>1362.26</v>
      </c>
      <c r="E162" s="9">
        <v>8.62272389610955E-3</v>
      </c>
      <c r="F162" s="10" t="s">
        <v>17</v>
      </c>
      <c r="G162" s="10" t="s">
        <v>17</v>
      </c>
    </row>
    <row r="163" spans="1:7" x14ac:dyDescent="0.25">
      <c r="A163" s="6" t="s">
        <v>32</v>
      </c>
      <c r="B163" s="7" t="s">
        <v>163</v>
      </c>
      <c r="C163" s="8">
        <v>151436.26999999999</v>
      </c>
      <c r="D163" s="8">
        <v>50.14</v>
      </c>
      <c r="E163" s="9">
        <v>3.3109637473242002E-4</v>
      </c>
      <c r="F163" s="10" t="s">
        <v>17</v>
      </c>
      <c r="G163" s="10" t="s">
        <v>17</v>
      </c>
    </row>
    <row r="164" spans="1:7" x14ac:dyDescent="0.25">
      <c r="A164" s="6" t="s">
        <v>33</v>
      </c>
      <c r="B164" s="7" t="s">
        <v>211</v>
      </c>
      <c r="C164" s="8">
        <v>144122.19</v>
      </c>
      <c r="D164" s="8">
        <v>12369.58</v>
      </c>
      <c r="E164" s="9">
        <v>8.5827033297232E-2</v>
      </c>
      <c r="F164" s="10" t="s">
        <v>17</v>
      </c>
      <c r="G164" s="10" t="s">
        <v>17</v>
      </c>
    </row>
    <row r="165" spans="1:7" x14ac:dyDescent="0.25">
      <c r="A165" s="6" t="s">
        <v>34</v>
      </c>
      <c r="B165" s="7" t="s">
        <v>254</v>
      </c>
      <c r="C165" s="8">
        <v>136183.19</v>
      </c>
      <c r="D165" s="8">
        <v>16541.189999999999</v>
      </c>
      <c r="E165" s="9">
        <v>0.121462788468973</v>
      </c>
      <c r="F165" s="10" t="s">
        <v>17</v>
      </c>
      <c r="G165" s="10" t="s">
        <v>17</v>
      </c>
    </row>
    <row r="166" spans="1:7" x14ac:dyDescent="0.25">
      <c r="A166" s="6" t="s">
        <v>35</v>
      </c>
      <c r="B166" s="7" t="s">
        <v>279</v>
      </c>
      <c r="C166" s="8">
        <v>132912.01999999999</v>
      </c>
      <c r="D166" s="8">
        <v>132912.01999999999</v>
      </c>
      <c r="E166" s="9">
        <v>1</v>
      </c>
      <c r="F166" s="10" t="s">
        <v>17</v>
      </c>
      <c r="G166" s="10" t="s">
        <v>17</v>
      </c>
    </row>
    <row r="167" spans="1:7" x14ac:dyDescent="0.25">
      <c r="A167" s="6" t="s">
        <v>36</v>
      </c>
      <c r="B167" s="7" t="s">
        <v>187</v>
      </c>
      <c r="C167" s="8">
        <v>131170.5</v>
      </c>
      <c r="D167" s="8">
        <v>131170.5</v>
      </c>
      <c r="E167" s="9">
        <v>1</v>
      </c>
      <c r="F167" s="10" t="s">
        <v>17</v>
      </c>
      <c r="G167" s="10" t="s">
        <v>17</v>
      </c>
    </row>
    <row r="168" spans="1:7" x14ac:dyDescent="0.25">
      <c r="A168" s="6" t="s">
        <v>37</v>
      </c>
      <c r="B168" s="7" t="s">
        <v>303</v>
      </c>
      <c r="C168" s="8">
        <v>125009.84</v>
      </c>
      <c r="D168" s="8">
        <v>125009.84</v>
      </c>
      <c r="E168" s="9">
        <v>1</v>
      </c>
      <c r="F168" s="10" t="s">
        <v>17</v>
      </c>
      <c r="G168" s="10" t="s">
        <v>17</v>
      </c>
    </row>
    <row r="169" spans="1:7" x14ac:dyDescent="0.25">
      <c r="A169" s="6" t="s">
        <v>38</v>
      </c>
      <c r="B169" s="7" t="s">
        <v>215</v>
      </c>
      <c r="C169" s="8">
        <v>123382.09</v>
      </c>
      <c r="D169" s="8">
        <v>1514.67</v>
      </c>
      <c r="E169" s="9">
        <v>1.2276255005892699E-2</v>
      </c>
      <c r="F169" s="10" t="s">
        <v>17</v>
      </c>
      <c r="G169" s="10" t="s">
        <v>17</v>
      </c>
    </row>
    <row r="170" spans="1:7" x14ac:dyDescent="0.25">
      <c r="A170" s="6" t="s">
        <v>39</v>
      </c>
      <c r="B170" s="7" t="s">
        <v>224</v>
      </c>
      <c r="C170" s="8">
        <v>101402.96</v>
      </c>
      <c r="D170" s="8">
        <v>101402.96</v>
      </c>
      <c r="E170" s="9">
        <v>1</v>
      </c>
      <c r="F170" s="10" t="s">
        <v>17</v>
      </c>
      <c r="G170" s="10" t="s">
        <v>17</v>
      </c>
    </row>
    <row r="171" spans="1:7" x14ac:dyDescent="0.25">
      <c r="A171" s="6" t="s">
        <v>40</v>
      </c>
      <c r="B171" s="7" t="s">
        <v>308</v>
      </c>
      <c r="C171" s="8">
        <v>98180.658100000001</v>
      </c>
      <c r="D171" s="8">
        <v>2017.21</v>
      </c>
      <c r="E171" s="9">
        <v>2.05459001705347E-2</v>
      </c>
      <c r="F171" s="10" t="s">
        <v>17</v>
      </c>
      <c r="G171" s="10" t="s">
        <v>17</v>
      </c>
    </row>
    <row r="172" spans="1:7" x14ac:dyDescent="0.25">
      <c r="A172" s="6" t="s">
        <v>41</v>
      </c>
      <c r="B172" s="7" t="s">
        <v>294</v>
      </c>
      <c r="C172" s="8">
        <v>82698.350000000006</v>
      </c>
      <c r="D172" s="8">
        <v>39448.129999999997</v>
      </c>
      <c r="E172" s="9">
        <v>0.47701229831066799</v>
      </c>
      <c r="F172" s="10" t="s">
        <v>17</v>
      </c>
      <c r="G172" s="10" t="s">
        <v>17</v>
      </c>
    </row>
    <row r="173" spans="1:7" x14ac:dyDescent="0.25">
      <c r="A173" s="6" t="s">
        <v>42</v>
      </c>
      <c r="B173" s="7" t="s">
        <v>184</v>
      </c>
      <c r="C173" s="8">
        <v>80133.7</v>
      </c>
      <c r="D173" s="8">
        <v>80133.7</v>
      </c>
      <c r="E173" s="9">
        <v>1</v>
      </c>
      <c r="F173" s="10" t="s">
        <v>17</v>
      </c>
      <c r="G173" s="10" t="s">
        <v>17</v>
      </c>
    </row>
    <row r="174" spans="1:7" x14ac:dyDescent="0.25">
      <c r="A174" s="6" t="s">
        <v>43</v>
      </c>
      <c r="B174" s="7" t="s">
        <v>280</v>
      </c>
      <c r="C174" s="8">
        <v>72998.789999999994</v>
      </c>
      <c r="D174" s="8">
        <v>2204.81</v>
      </c>
      <c r="E174" s="9">
        <v>3.0203377343651899E-2</v>
      </c>
      <c r="F174" s="10" t="s">
        <v>17</v>
      </c>
      <c r="G174" s="10" t="s">
        <v>17</v>
      </c>
    </row>
    <row r="175" spans="1:7" x14ac:dyDescent="0.25">
      <c r="A175" s="6" t="s">
        <v>44</v>
      </c>
      <c r="B175" s="7" t="s">
        <v>284</v>
      </c>
      <c r="C175" s="8">
        <v>56507.11</v>
      </c>
      <c r="D175" s="8">
        <v>11230.42</v>
      </c>
      <c r="E175" s="9">
        <v>0.198743485554296</v>
      </c>
      <c r="F175" s="10" t="s">
        <v>17</v>
      </c>
      <c r="G175" s="10" t="s">
        <v>17</v>
      </c>
    </row>
    <row r="176" spans="1:7" x14ac:dyDescent="0.25">
      <c r="A176" s="6" t="s">
        <v>45</v>
      </c>
      <c r="B176" s="7" t="s">
        <v>175</v>
      </c>
      <c r="C176" s="8">
        <v>52843.67</v>
      </c>
      <c r="D176" s="8">
        <v>52843.67</v>
      </c>
      <c r="E176" s="9">
        <v>1</v>
      </c>
      <c r="F176" s="10" t="s">
        <v>17</v>
      </c>
      <c r="G176" s="10" t="s">
        <v>17</v>
      </c>
    </row>
    <row r="177" spans="1:7" x14ac:dyDescent="0.25">
      <c r="A177" s="6" t="s">
        <v>46</v>
      </c>
      <c r="B177" s="7" t="s">
        <v>227</v>
      </c>
      <c r="C177" s="8">
        <v>50060.62</v>
      </c>
      <c r="D177" s="8">
        <v>50060.62</v>
      </c>
      <c r="E177" s="9">
        <v>1</v>
      </c>
      <c r="F177" s="10" t="s">
        <v>17</v>
      </c>
      <c r="G177" s="10" t="s">
        <v>17</v>
      </c>
    </row>
    <row r="178" spans="1:7" x14ac:dyDescent="0.25">
      <c r="A178" s="6" t="s">
        <v>47</v>
      </c>
      <c r="B178" s="7" t="s">
        <v>248</v>
      </c>
      <c r="C178" s="8">
        <v>37315.65</v>
      </c>
      <c r="D178" s="8">
        <v>37315.65</v>
      </c>
      <c r="E178" s="9">
        <v>1</v>
      </c>
      <c r="F178" s="10" t="s">
        <v>17</v>
      </c>
      <c r="G178" s="10" t="s">
        <v>17</v>
      </c>
    </row>
    <row r="179" spans="1:7" x14ac:dyDescent="0.25">
      <c r="A179" s="6" t="s">
        <v>48</v>
      </c>
      <c r="B179" s="7" t="s">
        <v>261</v>
      </c>
      <c r="C179" s="8">
        <v>35192.370000000003</v>
      </c>
      <c r="D179" s="8">
        <v>9833.89</v>
      </c>
      <c r="E179" s="9">
        <v>0.27943244515785698</v>
      </c>
      <c r="F179" s="10" t="s">
        <v>17</v>
      </c>
      <c r="G179" s="10" t="s">
        <v>17</v>
      </c>
    </row>
    <row r="180" spans="1:7" x14ac:dyDescent="0.25">
      <c r="A180" s="6" t="s">
        <v>49</v>
      </c>
      <c r="B180" s="7" t="s">
        <v>190</v>
      </c>
      <c r="C180" s="8">
        <v>33619.07</v>
      </c>
      <c r="D180" s="8">
        <v>33619.07</v>
      </c>
      <c r="E180" s="9">
        <v>1</v>
      </c>
      <c r="F180" s="10" t="s">
        <v>17</v>
      </c>
      <c r="G180" s="10" t="s">
        <v>17</v>
      </c>
    </row>
    <row r="181" spans="1:7" x14ac:dyDescent="0.25">
      <c r="A181" s="6" t="s">
        <v>50</v>
      </c>
      <c r="B181" s="7" t="s">
        <v>285</v>
      </c>
      <c r="C181" s="8">
        <v>19927.82</v>
      </c>
      <c r="D181" s="8">
        <v>3289.87</v>
      </c>
      <c r="E181" s="9">
        <v>0.16508930731008201</v>
      </c>
      <c r="F181" s="10" t="s">
        <v>17</v>
      </c>
      <c r="G181" s="10" t="s">
        <v>17</v>
      </c>
    </row>
    <row r="182" spans="1:7" x14ac:dyDescent="0.25">
      <c r="A182" s="6" t="s">
        <v>51</v>
      </c>
      <c r="B182" s="7" t="s">
        <v>220</v>
      </c>
      <c r="C182" s="8">
        <v>19672.810000000001</v>
      </c>
      <c r="D182" s="8">
        <v>19672.810000000001</v>
      </c>
      <c r="E182" s="9">
        <v>1</v>
      </c>
      <c r="F182" s="10" t="s">
        <v>17</v>
      </c>
      <c r="G182" s="10" t="s">
        <v>17</v>
      </c>
    </row>
    <row r="183" spans="1:7" x14ac:dyDescent="0.25">
      <c r="A183" s="6" t="s">
        <v>52</v>
      </c>
      <c r="B183" s="7" t="s">
        <v>287</v>
      </c>
      <c r="C183" s="8">
        <v>11379.6</v>
      </c>
      <c r="D183" s="8">
        <v>485.43</v>
      </c>
      <c r="E183" s="9">
        <v>4.2657914162185E-2</v>
      </c>
      <c r="F183" s="10" t="s">
        <v>17</v>
      </c>
      <c r="G183" s="10" t="s">
        <v>17</v>
      </c>
    </row>
    <row r="184" spans="1:7" x14ac:dyDescent="0.25">
      <c r="A184" s="6" t="s">
        <v>53</v>
      </c>
      <c r="B184" s="7" t="s">
        <v>238</v>
      </c>
      <c r="C184" s="8">
        <v>6147.8</v>
      </c>
      <c r="D184" s="8">
        <v>66.16</v>
      </c>
      <c r="E184" s="9">
        <v>1.0761573245713901E-2</v>
      </c>
      <c r="F184" s="10" t="s">
        <v>17</v>
      </c>
      <c r="G184" s="10" t="s">
        <v>17</v>
      </c>
    </row>
    <row r="185" spans="1:7" x14ac:dyDescent="0.25">
      <c r="A185" s="6" t="s">
        <v>54</v>
      </c>
      <c r="B185" s="7" t="s">
        <v>261</v>
      </c>
      <c r="C185" s="8">
        <v>5505.81</v>
      </c>
      <c r="D185" s="8">
        <v>5505.81</v>
      </c>
      <c r="E185" s="9">
        <v>1</v>
      </c>
      <c r="F185" s="10" t="s">
        <v>17</v>
      </c>
      <c r="G185" s="10" t="s">
        <v>17</v>
      </c>
    </row>
    <row r="186" spans="1:7" x14ac:dyDescent="0.25">
      <c r="A186" s="6" t="s">
        <v>55</v>
      </c>
      <c r="B186" s="7" t="s">
        <v>288</v>
      </c>
      <c r="C186" s="8">
        <v>4907.83</v>
      </c>
      <c r="D186" s="8">
        <v>948.18</v>
      </c>
      <c r="E186" s="9">
        <v>0.193197400887969</v>
      </c>
      <c r="F186" s="10" t="s">
        <v>17</v>
      </c>
      <c r="G186" s="10" t="s">
        <v>17</v>
      </c>
    </row>
    <row r="187" spans="1:7" x14ac:dyDescent="0.25">
      <c r="A187" s="6" t="s">
        <v>56</v>
      </c>
      <c r="B187" s="7" t="s">
        <v>320</v>
      </c>
      <c r="C187" s="8">
        <v>2496.71</v>
      </c>
      <c r="D187" s="8">
        <v>2496.71</v>
      </c>
      <c r="E187" s="9">
        <v>1</v>
      </c>
      <c r="F187" s="10" t="s">
        <v>17</v>
      </c>
      <c r="G187" s="10" t="s">
        <v>17</v>
      </c>
    </row>
    <row r="188" spans="1:7" x14ac:dyDescent="0.25">
      <c r="A188" s="6" t="s">
        <v>57</v>
      </c>
      <c r="B188" s="7" t="s">
        <v>305</v>
      </c>
      <c r="C188" s="8">
        <v>1758.53</v>
      </c>
      <c r="D188" s="8">
        <v>1758.53</v>
      </c>
      <c r="E188" s="9">
        <v>1</v>
      </c>
      <c r="F188" s="10" t="s">
        <v>17</v>
      </c>
      <c r="G188" s="10" t="s">
        <v>17</v>
      </c>
    </row>
    <row r="189" spans="1:7" x14ac:dyDescent="0.25">
      <c r="A189" s="6" t="s">
        <v>58</v>
      </c>
      <c r="B189" s="7" t="s">
        <v>202</v>
      </c>
      <c r="C189" s="8">
        <v>1580.21</v>
      </c>
      <c r="D189" s="8">
        <v>19.43</v>
      </c>
      <c r="E189" s="9">
        <v>1.22958340979996E-2</v>
      </c>
      <c r="F189" s="10" t="s">
        <v>17</v>
      </c>
      <c r="G189" s="10" t="s">
        <v>17</v>
      </c>
    </row>
    <row r="190" spans="1:7" x14ac:dyDescent="0.25">
      <c r="A190" s="6" t="s">
        <v>59</v>
      </c>
      <c r="B190" s="7" t="s">
        <v>289</v>
      </c>
      <c r="C190" s="8">
        <v>1248.51</v>
      </c>
      <c r="D190" s="8">
        <v>54.98</v>
      </c>
      <c r="E190" s="9">
        <v>4.4036491497865503E-2</v>
      </c>
      <c r="F190" s="10" t="s">
        <v>17</v>
      </c>
      <c r="G190" s="10" t="s">
        <v>17</v>
      </c>
    </row>
    <row r="191" spans="1:7" x14ac:dyDescent="0.25">
      <c r="A191" s="6" t="s">
        <v>60</v>
      </c>
      <c r="B191" s="7" t="s">
        <v>327</v>
      </c>
      <c r="C191" s="8">
        <v>1150.43</v>
      </c>
      <c r="D191" s="8">
        <v>1150.43</v>
      </c>
      <c r="E191" s="9">
        <v>1</v>
      </c>
      <c r="F191" s="10" t="s">
        <v>17</v>
      </c>
      <c r="G191" s="10" t="s">
        <v>17</v>
      </c>
    </row>
    <row r="192" spans="1:7" x14ac:dyDescent="0.25">
      <c r="A192" s="6" t="s">
        <v>61</v>
      </c>
      <c r="B192" s="7" t="s">
        <v>314</v>
      </c>
      <c r="C192" s="8">
        <v>1000.43</v>
      </c>
      <c r="D192" s="8">
        <v>1000.43</v>
      </c>
      <c r="E192" s="9">
        <v>1</v>
      </c>
      <c r="F192" s="10" t="s">
        <v>17</v>
      </c>
      <c r="G192" s="10" t="s">
        <v>17</v>
      </c>
    </row>
    <row r="193" spans="1:7" x14ac:dyDescent="0.25">
      <c r="A193" s="6" t="s">
        <v>62</v>
      </c>
      <c r="B193" s="7" t="s">
        <v>210</v>
      </c>
      <c r="C193" s="8">
        <v>986.72</v>
      </c>
      <c r="D193" s="8">
        <v>0</v>
      </c>
      <c r="E193" s="9">
        <v>0</v>
      </c>
      <c r="F193" s="10" t="s">
        <v>17</v>
      </c>
      <c r="G193" s="10" t="s">
        <v>17</v>
      </c>
    </row>
    <row r="194" spans="1:7" x14ac:dyDescent="0.25">
      <c r="A194" s="6" t="s">
        <v>63</v>
      </c>
      <c r="B194" s="7" t="s">
        <v>295</v>
      </c>
      <c r="C194" s="8">
        <v>901.88</v>
      </c>
      <c r="D194" s="8">
        <v>901.88</v>
      </c>
      <c r="E194" s="9">
        <v>1</v>
      </c>
      <c r="F194" s="10" t="s">
        <v>17</v>
      </c>
      <c r="G194" s="10" t="s">
        <v>17</v>
      </c>
    </row>
    <row r="195" spans="1:7" x14ac:dyDescent="0.25">
      <c r="A195" s="6" t="s">
        <v>64</v>
      </c>
      <c r="B195" s="7" t="s">
        <v>290</v>
      </c>
      <c r="C195" s="8">
        <v>620.77</v>
      </c>
      <c r="D195" s="8">
        <v>89.51</v>
      </c>
      <c r="E195" s="9">
        <v>0.14419189071636801</v>
      </c>
      <c r="F195" s="10" t="s">
        <v>17</v>
      </c>
      <c r="G195" s="10" t="s">
        <v>17</v>
      </c>
    </row>
    <row r="196" spans="1:7" x14ac:dyDescent="0.25">
      <c r="A196" s="6" t="s">
        <v>65</v>
      </c>
      <c r="B196" s="7" t="s">
        <v>204</v>
      </c>
      <c r="C196" s="8">
        <v>21.6</v>
      </c>
      <c r="D196" s="8">
        <v>21.6</v>
      </c>
      <c r="E196" s="9">
        <v>1</v>
      </c>
      <c r="F196" s="10" t="s">
        <v>17</v>
      </c>
      <c r="G196" s="10" t="s">
        <v>17</v>
      </c>
    </row>
    <row r="197" spans="1:7" x14ac:dyDescent="0.25">
      <c r="A197" s="6" t="s">
        <v>66</v>
      </c>
      <c r="B197" s="7" t="s">
        <v>271</v>
      </c>
      <c r="C197" s="8">
        <v>20.07</v>
      </c>
      <c r="D197" s="8">
        <v>20.07</v>
      </c>
      <c r="E197" s="9">
        <v>1</v>
      </c>
      <c r="F197" s="10" t="s">
        <v>17</v>
      </c>
      <c r="G197" s="10" t="s">
        <v>17</v>
      </c>
    </row>
    <row r="198" spans="1:7" x14ac:dyDescent="0.25">
      <c r="A198" s="6" t="s">
        <v>67</v>
      </c>
      <c r="B198" s="7" t="s">
        <v>297</v>
      </c>
      <c r="C198" s="8">
        <v>6.87</v>
      </c>
      <c r="D198" s="8">
        <v>6.87</v>
      </c>
      <c r="E198" s="9">
        <v>1</v>
      </c>
      <c r="F198" s="10" t="s">
        <v>17</v>
      </c>
      <c r="G198" s="10" t="s">
        <v>17</v>
      </c>
    </row>
    <row r="199" spans="1:7" x14ac:dyDescent="0.25">
      <c r="A199" s="6" t="s">
        <v>68</v>
      </c>
      <c r="B199" s="7" t="s">
        <v>296</v>
      </c>
      <c r="C199" s="8">
        <v>3.17</v>
      </c>
      <c r="D199" s="8">
        <v>3.17</v>
      </c>
      <c r="E199" s="9">
        <v>1</v>
      </c>
      <c r="F199" s="10" t="s">
        <v>17</v>
      </c>
      <c r="G199" s="10" t="s">
        <v>17</v>
      </c>
    </row>
    <row r="200" spans="1:7" x14ac:dyDescent="0.25">
      <c r="A200" s="6" t="s">
        <v>69</v>
      </c>
      <c r="B200" s="7" t="s">
        <v>281</v>
      </c>
      <c r="C200" s="8">
        <v>0.33</v>
      </c>
      <c r="D200" s="8">
        <v>0.33</v>
      </c>
      <c r="E200" s="9">
        <v>1</v>
      </c>
      <c r="F200" s="10" t="s">
        <v>17</v>
      </c>
      <c r="G200" s="10" t="s">
        <v>17</v>
      </c>
    </row>
    <row r="201" spans="1:7" x14ac:dyDescent="0.25">
      <c r="A201" s="6" t="s">
        <v>70</v>
      </c>
      <c r="B201" s="7" t="s">
        <v>221</v>
      </c>
      <c r="C201" s="8">
        <v>0.06</v>
      </c>
      <c r="D201" s="8">
        <v>0.06</v>
      </c>
      <c r="E201" s="9">
        <v>1</v>
      </c>
      <c r="F201" s="10" t="s">
        <v>17</v>
      </c>
      <c r="G201" s="10" t="s">
        <v>17</v>
      </c>
    </row>
    <row r="202" spans="1:7" x14ac:dyDescent="0.25">
      <c r="A202" s="6" t="s">
        <v>71</v>
      </c>
      <c r="B202" s="7" t="s">
        <v>164</v>
      </c>
      <c r="C202" s="8">
        <v>0.03</v>
      </c>
      <c r="D202" s="8">
        <v>0.03</v>
      </c>
      <c r="E202" s="9">
        <v>1</v>
      </c>
      <c r="F202" s="10" t="s">
        <v>17</v>
      </c>
      <c r="G202" s="10" t="s">
        <v>17</v>
      </c>
    </row>
    <row r="203" spans="1:7" x14ac:dyDescent="0.25">
      <c r="A203" s="6" t="s">
        <v>72</v>
      </c>
      <c r="B203" s="7" t="s">
        <v>230</v>
      </c>
      <c r="C203" s="8">
        <v>0.01</v>
      </c>
      <c r="D203" s="8">
        <v>0.01</v>
      </c>
      <c r="E203" s="9">
        <v>1</v>
      </c>
      <c r="F203" s="10" t="s">
        <v>17</v>
      </c>
      <c r="G203" s="10" t="s">
        <v>17</v>
      </c>
    </row>
    <row r="204" spans="1:7" x14ac:dyDescent="0.25">
      <c r="A204" s="6" t="s">
        <v>73</v>
      </c>
      <c r="B204" s="7" t="s">
        <v>208</v>
      </c>
      <c r="C204" s="8">
        <v>0.01</v>
      </c>
      <c r="D204" s="8">
        <v>0.01</v>
      </c>
      <c r="E204" s="9">
        <v>1</v>
      </c>
      <c r="F204" s="10" t="s">
        <v>17</v>
      </c>
      <c r="G204" s="10" t="s">
        <v>17</v>
      </c>
    </row>
    <row r="205" spans="1:7" x14ac:dyDescent="0.25">
      <c r="A205" s="6" t="s">
        <v>74</v>
      </c>
      <c r="B205" s="7" t="s">
        <v>286</v>
      </c>
      <c r="C205" s="8">
        <v>0</v>
      </c>
      <c r="D205" s="8">
        <v>0</v>
      </c>
      <c r="E205" s="9">
        <v>0</v>
      </c>
      <c r="F205" s="10" t="s">
        <v>17</v>
      </c>
      <c r="G205" s="10" t="s">
        <v>17</v>
      </c>
    </row>
    <row r="206" spans="1:7" x14ac:dyDescent="0.25">
      <c r="A206" s="6" t="s">
        <v>75</v>
      </c>
      <c r="B206" s="7" t="s">
        <v>219</v>
      </c>
      <c r="C206" s="8">
        <v>0</v>
      </c>
      <c r="D206" s="8">
        <v>0</v>
      </c>
      <c r="E206" s="9">
        <v>0</v>
      </c>
      <c r="F206" s="10" t="s">
        <v>17</v>
      </c>
      <c r="G206" s="10" t="s">
        <v>17</v>
      </c>
    </row>
    <row r="207" spans="1:7" x14ac:dyDescent="0.25">
      <c r="A207" s="6" t="s">
        <v>76</v>
      </c>
      <c r="B207" s="7" t="s">
        <v>262</v>
      </c>
      <c r="C207" s="8">
        <v>0</v>
      </c>
      <c r="D207" s="8">
        <v>0</v>
      </c>
      <c r="E207" s="9">
        <v>0</v>
      </c>
      <c r="F207" s="10" t="s">
        <v>17</v>
      </c>
      <c r="G207" s="10" t="s">
        <v>17</v>
      </c>
    </row>
    <row r="208" spans="1:7" x14ac:dyDescent="0.25">
      <c r="A208" s="6" t="s">
        <v>77</v>
      </c>
      <c r="B208" s="7" t="s">
        <v>282</v>
      </c>
      <c r="C208" s="8">
        <v>0</v>
      </c>
      <c r="D208" s="8">
        <v>0</v>
      </c>
      <c r="E208" s="9">
        <v>0</v>
      </c>
      <c r="F208" s="10" t="s">
        <v>17</v>
      </c>
      <c r="G208" s="10" t="s">
        <v>17</v>
      </c>
    </row>
    <row r="209" spans="1:7" x14ac:dyDescent="0.25">
      <c r="A209" s="6" t="s">
        <v>78</v>
      </c>
      <c r="B209" s="7" t="s">
        <v>229</v>
      </c>
      <c r="C209" s="8">
        <v>0</v>
      </c>
      <c r="D209" s="8">
        <v>0</v>
      </c>
      <c r="E209" s="9">
        <v>0</v>
      </c>
      <c r="F209" s="10" t="s">
        <v>17</v>
      </c>
      <c r="G209" s="10" t="s">
        <v>17</v>
      </c>
    </row>
    <row r="210" spans="1:7" x14ac:dyDescent="0.25">
      <c r="C210" s="8"/>
      <c r="D210" s="8"/>
      <c r="E210" s="9"/>
    </row>
    <row r="215" spans="1:7" x14ac:dyDescent="0.25">
      <c r="B215" s="20" t="s">
        <v>273</v>
      </c>
      <c r="C215" s="21">
        <f>SUM(C2:C147)</f>
        <v>92471977.911099985</v>
      </c>
      <c r="D215" s="21">
        <f>SUM(D2:D147)</f>
        <v>26926844.890000004</v>
      </c>
      <c r="E215" s="22">
        <f>(D215 / C215)</f>
        <v>0.29118923914320005</v>
      </c>
    </row>
    <row r="219" spans="1:7" x14ac:dyDescent="0.25">
      <c r="B219" s="20" t="s">
        <v>272</v>
      </c>
      <c r="C219" s="21">
        <f>SUM(C148:C213)</f>
        <v>11250510.148099996</v>
      </c>
      <c r="D219" s="21">
        <f>SUM(D148:D213)</f>
        <v>7223745.5799999963</v>
      </c>
      <c r="E219" s="22">
        <f>(D219 / C219)</f>
        <v>0.64208160207028064</v>
      </c>
    </row>
    <row r="223" spans="1:7" x14ac:dyDescent="0.25">
      <c r="B223" s="20" t="s">
        <v>274</v>
      </c>
      <c r="C223" s="21">
        <f>SUM(C2:C219) / 2</f>
        <v>103722488.05919997</v>
      </c>
      <c r="D223" s="21">
        <f>SUM(D2:D219) / 2</f>
        <v>34150590.470000014</v>
      </c>
      <c r="E223" s="22">
        <f>(D223 / C223)</f>
        <v>0.32924962666252705</v>
      </c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RunAll">
                <anchor>
                  <from>
                    <xdr:col>15</xdr:col>
                    <xdr:colOff>390525</xdr:colOff>
                    <xdr:row>1</xdr:row>
                    <xdr:rowOff>9525</xdr:rowOff>
                  </from>
                  <to>
                    <xdr:col>19</xdr:col>
                    <xdr:colOff>381000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FCE31B0FFA0948AAFD244C6994BEF5" ma:contentTypeVersion="10" ma:contentTypeDescription="Create a new document." ma:contentTypeScope="" ma:versionID="b9dec88f640d77633e4fe4a84543bd63">
  <xsd:schema xmlns:xsd="http://www.w3.org/2001/XMLSchema" xmlns:xs="http://www.w3.org/2001/XMLSchema" xmlns:p="http://schemas.microsoft.com/office/2006/metadata/properties" xmlns:ns3="f38d76bb-d55f-405c-9277-38993ae3f560" xmlns:ns4="6261c2d3-6979-431e-b4a2-042419bf3980" targetNamespace="http://schemas.microsoft.com/office/2006/metadata/properties" ma:root="true" ma:fieldsID="f666ec8bc64249b91431655983b7882a" ns3:_="" ns4:_="">
    <xsd:import namespace="f38d76bb-d55f-405c-9277-38993ae3f560"/>
    <xsd:import namespace="6261c2d3-6979-431e-b4a2-042419bf398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8d76bb-d55f-405c-9277-38993ae3f56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61c2d3-6979-431e-b4a2-042419bf3980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093A448-5607-457C-B498-06E8D1632F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38d76bb-d55f-405c-9277-38993ae3f560"/>
    <ds:schemaRef ds:uri="6261c2d3-6979-431e-b4a2-042419bf39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5297298-E50F-4DDA-A92F-C75A342EB03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67C9E9-7F7F-4B7E-9982-86C38A5AC464}">
  <ds:schemaRefs>
    <ds:schemaRef ds:uri="http://purl.org/dc/terms/"/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6261c2d3-6979-431e-b4a2-042419bf3980"/>
    <ds:schemaRef ds:uri="http://schemas.microsoft.com/office/infopath/2007/PartnerControls"/>
    <ds:schemaRef ds:uri="f38d76bb-d55f-405c-9277-38993ae3f5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As of 07-02-2021</vt:lpstr>
      <vt:lpstr>As of 07-06-2021</vt:lpstr>
      <vt:lpstr>As of 07-07-2021</vt:lpstr>
      <vt:lpstr>As of 07-08-2021</vt:lpstr>
      <vt:lpstr>As of 07-09-2021</vt:lpstr>
      <vt:lpstr>As of 07-12-2021</vt:lpstr>
      <vt:lpstr>As of 07-13-2021</vt:lpstr>
      <vt:lpstr>As of 07-14-2021</vt:lpstr>
      <vt:lpstr>As of 07-15-2021</vt:lpstr>
      <vt:lpstr>As of 07-16-2021</vt:lpstr>
      <vt:lpstr>As of 07-19-2021</vt:lpstr>
      <vt:lpstr>As of 07-26-2021</vt:lpstr>
      <vt:lpstr>As of 08-02-2021</vt:lpstr>
      <vt:lpstr>Import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Borromeo</dc:creator>
  <cp:lastModifiedBy>Zach Borromeo</cp:lastModifiedBy>
  <cp:lastPrinted>2021-07-13T13:11:19Z</cp:lastPrinted>
  <dcterms:created xsi:type="dcterms:W3CDTF">2020-06-01T13:05:41Z</dcterms:created>
  <dcterms:modified xsi:type="dcterms:W3CDTF">2021-08-02T14:38:22Z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0x01010007FCE31B0FFA0948AAFD244C6994BEF5</vt:lpwstr>
  </property>
</Properties>
</file>